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3C06A389-A098-45D0-9DEE-777FEFF55D3B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DASHBOARD" sheetId="10" r:id="rId1"/>
    <sheet name="REFF" sheetId="1" r:id="rId2"/>
    <sheet name="TEST" sheetId="2" r:id="rId3"/>
    <sheet name="SNP" sheetId="3" r:id="rId4"/>
    <sheet name="HELPER" sheetId="9" state="hidden" r:id="rId5"/>
    <sheet name="CHARTS" sheetId="11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9" l="1"/>
  <c r="A2" i="9"/>
  <c r="C2" i="9"/>
  <c r="D45" i="9"/>
  <c r="D44" i="9"/>
  <c r="D48" i="9"/>
  <c r="D47" i="9"/>
  <c r="D50" i="9"/>
  <c r="D49" i="9"/>
  <c r="D46" i="9"/>
  <c r="D43" i="9"/>
  <c r="D42" i="9"/>
  <c r="D41" i="9"/>
  <c r="A4" i="9"/>
  <c r="A4" i="11" l="1" a="1"/>
  <c r="D12" i="11" s="1"/>
  <c r="E4" i="9"/>
  <c r="A11" i="9" a="1"/>
  <c r="A11" i="9" s="1"/>
  <c r="A26" i="9" a="1"/>
  <c r="D7" i="11" l="1"/>
  <c r="D10" i="11"/>
  <c r="D11" i="11"/>
  <c r="D6" i="11"/>
  <c r="D8" i="11"/>
  <c r="D13" i="11"/>
  <c r="A4" i="11"/>
  <c r="D4" i="11" s="1"/>
  <c r="D9" i="11"/>
  <c r="D5" i="11"/>
  <c r="L27" i="9"/>
  <c r="L31" i="9"/>
  <c r="L35" i="9"/>
  <c r="L30" i="9"/>
  <c r="L34" i="9"/>
  <c r="L29" i="9"/>
  <c r="L33" i="9"/>
  <c r="L28" i="9"/>
  <c r="L32" i="9"/>
  <c r="D56" i="9"/>
  <c r="D60" i="9"/>
  <c r="D64" i="9"/>
  <c r="D59" i="9"/>
  <c r="D63" i="9"/>
  <c r="D11" i="9" a="1"/>
  <c r="D11" i="9" s="1"/>
  <c r="B61" i="9" s="1"/>
  <c r="D58" i="9"/>
  <c r="D62" i="9"/>
  <c r="D57" i="9"/>
  <c r="D61" i="9"/>
  <c r="D55" i="9"/>
  <c r="A26" i="9"/>
  <c r="A21" i="11" s="1" a="1"/>
  <c r="B57" i="9" l="1"/>
  <c r="A21" i="11"/>
  <c r="C21" i="11" s="1"/>
  <c r="C22" i="11"/>
  <c r="C24" i="11"/>
  <c r="C26" i="11"/>
  <c r="C28" i="11"/>
  <c r="C30" i="11"/>
  <c r="C23" i="11"/>
  <c r="C25" i="11"/>
  <c r="C27" i="11"/>
  <c r="C29" i="11"/>
  <c r="L26" i="9"/>
  <c r="B63" i="9"/>
  <c r="B58" i="9"/>
  <c r="B60" i="9"/>
  <c r="B56" i="9"/>
  <c r="B62" i="9"/>
  <c r="B64" i="9"/>
  <c r="B55" i="9"/>
  <c r="B59" i="9"/>
  <c r="M26" i="9" l="1" a="1"/>
  <c r="M26" i="9" s="1"/>
  <c r="N26" i="9" s="1"/>
  <c r="B21" i="11" a="1"/>
  <c r="B21" i="11" s="1"/>
  <c r="A33" i="11" s="1" a="1"/>
  <c r="A33" i="11" s="1"/>
  <c r="M33" i="9" a="1"/>
  <c r="M33" i="9" s="1"/>
  <c r="N33" i="9" s="1"/>
  <c r="M34" i="9" a="1"/>
  <c r="M34" i="9" s="1"/>
  <c r="N34" i="9" s="1"/>
  <c r="M35" i="9" a="1"/>
  <c r="M35" i="9" s="1"/>
  <c r="N35" i="9" s="1"/>
  <c r="M30" i="9" a="1"/>
  <c r="M30" i="9" s="1"/>
  <c r="N30" i="9" s="1"/>
  <c r="M32" i="9" a="1"/>
  <c r="M32" i="9" s="1"/>
  <c r="N32" i="9" s="1"/>
  <c r="M31" i="9" a="1"/>
  <c r="M31" i="9" s="1"/>
  <c r="N31" i="9" s="1"/>
  <c r="M27" i="9" a="1"/>
  <c r="M27" i="9" s="1"/>
  <c r="N27" i="9" s="1"/>
  <c r="M28" i="9" a="1"/>
  <c r="M28" i="9" s="1"/>
  <c r="N28" i="9" s="1"/>
  <c r="M29" i="9" a="1"/>
  <c r="M29" i="9" s="1"/>
  <c r="N29" i="9" s="1"/>
  <c r="C57" i="9" s="1"/>
  <c r="E57" i="9" s="1"/>
  <c r="C55" i="9" l="1"/>
  <c r="E55" i="9" s="1"/>
  <c r="C56" i="9"/>
  <c r="E56" i="9" s="1"/>
  <c r="C60" i="9"/>
  <c r="E60" i="9" s="1"/>
  <c r="C64" i="9"/>
  <c r="E64" i="9" s="1"/>
  <c r="C61" i="9"/>
  <c r="E61" i="9" s="1"/>
  <c r="C63" i="9"/>
  <c r="E63" i="9" s="1"/>
  <c r="C59" i="9"/>
  <c r="E59" i="9" s="1"/>
  <c r="C62" i="9"/>
  <c r="E62" i="9" s="1"/>
  <c r="C58" i="9"/>
  <c r="E58" i="9" s="1"/>
  <c r="F60" i="9" l="1" a="1"/>
  <c r="F60" i="9" s="1"/>
  <c r="F61" i="9" a="1"/>
  <c r="F61" i="9" s="1"/>
  <c r="F63" i="9" a="1"/>
  <c r="F63" i="9" s="1"/>
  <c r="F62" i="9" a="1"/>
  <c r="F62" i="9" s="1"/>
  <c r="F57" i="9" a="1"/>
  <c r="F57" i="9" s="1"/>
  <c r="F64" i="9" a="1"/>
  <c r="F64" i="9" s="1"/>
  <c r="F58" i="9" a="1"/>
  <c r="F58" i="9" s="1"/>
  <c r="F55" i="9" a="1"/>
  <c r="F55" i="9" s="1"/>
  <c r="F59" i="9" a="1"/>
  <c r="F59" i="9" s="1"/>
  <c r="F56" i="9" a="1"/>
  <c r="F56" i="9" s="1"/>
  <c r="E75" i="9" l="1" a="1"/>
  <c r="E75" i="9" s="1"/>
  <c r="G52" i="10" s="1"/>
  <c r="E70" i="9" a="1"/>
  <c r="E70" i="9" s="1"/>
  <c r="H11" i="10" s="1"/>
  <c r="E71" i="9" a="1"/>
  <c r="E71" i="9" s="1"/>
  <c r="M11" i="10" s="1"/>
  <c r="E72" i="9" a="1"/>
  <c r="E72" i="9" s="1"/>
  <c r="G49" i="10" s="1"/>
  <c r="E73" i="9" a="1"/>
  <c r="E73" i="9" s="1"/>
  <c r="G50" i="10" s="1"/>
  <c r="E74" i="9" a="1"/>
  <c r="E74" i="9" s="1"/>
  <c r="G51" i="10" s="1"/>
  <c r="E76" i="9" a="1"/>
  <c r="E76" i="9" s="1"/>
  <c r="G53" i="10" s="1"/>
  <c r="E78" i="9" a="1"/>
  <c r="E78" i="9" s="1"/>
  <c r="G55" i="10" s="1"/>
  <c r="E77" i="9" a="1"/>
  <c r="E77" i="9" s="1"/>
  <c r="G54" i="10" s="1"/>
  <c r="E69" i="9" a="1"/>
  <c r="E69" i="9" s="1"/>
  <c r="C11" i="10" s="1"/>
  <c r="C69" i="9" a="1"/>
  <c r="C69" i="9" s="1"/>
  <c r="C10" i="10" s="1"/>
  <c r="D69" i="9" a="1"/>
  <c r="D69" i="9" s="1"/>
  <c r="C12" i="10" s="1"/>
  <c r="G70" i="9" a="1"/>
  <c r="G70" i="9" s="1"/>
  <c r="H14" i="10" s="1"/>
  <c r="G71" i="9" a="1"/>
  <c r="G71" i="9" s="1"/>
  <c r="G72" i="9" a="1"/>
  <c r="G72" i="9" s="1"/>
  <c r="M49" i="10" s="1"/>
  <c r="G73" i="9" a="1"/>
  <c r="G73" i="9" s="1"/>
  <c r="M50" i="10" s="1"/>
  <c r="G74" i="9" a="1"/>
  <c r="G74" i="9" s="1"/>
  <c r="M51" i="10" s="1"/>
  <c r="G75" i="9" a="1"/>
  <c r="G75" i="9" s="1"/>
  <c r="M52" i="10" s="1"/>
  <c r="G76" i="9" a="1"/>
  <c r="G76" i="9" s="1"/>
  <c r="M53" i="10" s="1"/>
  <c r="G77" i="9" a="1"/>
  <c r="G77" i="9" s="1"/>
  <c r="M54" i="10" s="1"/>
  <c r="G78" i="9" a="1"/>
  <c r="G78" i="9" s="1"/>
  <c r="M55" i="10" s="1"/>
  <c r="G69" i="9" a="1"/>
  <c r="G69" i="9" s="1"/>
  <c r="C14" i="10" s="1"/>
  <c r="F70" i="9" a="1"/>
  <c r="F70" i="9" s="1"/>
  <c r="H13" i="10" s="1"/>
  <c r="F72" i="9" a="1"/>
  <c r="F72" i="9" s="1"/>
  <c r="K49" i="10" s="1"/>
  <c r="F74" i="9" a="1"/>
  <c r="F74" i="9" s="1"/>
  <c r="K51" i="10" s="1"/>
  <c r="F76" i="9" a="1"/>
  <c r="F76" i="9" s="1"/>
  <c r="K53" i="10" s="1"/>
  <c r="F78" i="9" a="1"/>
  <c r="F78" i="9" s="1"/>
  <c r="K55" i="10" s="1"/>
  <c r="B69" i="9" a="1"/>
  <c r="B69" i="9" s="1"/>
  <c r="C9" i="10" s="1"/>
  <c r="F71" i="9" a="1"/>
  <c r="F71" i="9" s="1"/>
  <c r="F73" i="9" a="1"/>
  <c r="F73" i="9" s="1"/>
  <c r="K50" i="10" s="1"/>
  <c r="F75" i="9" a="1"/>
  <c r="F75" i="9" s="1"/>
  <c r="K52" i="10" s="1"/>
  <c r="F77" i="9" a="1"/>
  <c r="F77" i="9" s="1"/>
  <c r="K54" i="10" s="1"/>
  <c r="F69" i="9" a="1"/>
  <c r="F69" i="9" s="1"/>
  <c r="C13" i="10" s="1"/>
  <c r="D76" i="9" a="1"/>
  <c r="D76" i="9" s="1"/>
  <c r="J53" i="10" s="1"/>
  <c r="D78" i="9" a="1"/>
  <c r="D78" i="9" s="1"/>
  <c r="J55" i="10" s="1"/>
  <c r="C70" i="9" a="1"/>
  <c r="C70" i="9" s="1"/>
  <c r="H10" i="10" s="1"/>
  <c r="C72" i="9" a="1"/>
  <c r="C72" i="9" s="1"/>
  <c r="E49" i="10" s="1"/>
  <c r="C74" i="9" a="1"/>
  <c r="C74" i="9" s="1"/>
  <c r="E51" i="10" s="1"/>
  <c r="C76" i="9" a="1"/>
  <c r="C76" i="9" s="1"/>
  <c r="E53" i="10" s="1"/>
  <c r="C78" i="9" a="1"/>
  <c r="C78" i="9" s="1"/>
  <c r="E55" i="10" s="1"/>
  <c r="D70" i="9" a="1"/>
  <c r="D70" i="9" s="1"/>
  <c r="H12" i="10" s="1"/>
  <c r="D71" i="9" a="1"/>
  <c r="D71" i="9" s="1"/>
  <c r="M12" i="10" s="1"/>
  <c r="D72" i="9" a="1"/>
  <c r="D72" i="9" s="1"/>
  <c r="J49" i="10" s="1"/>
  <c r="D73" i="9" a="1"/>
  <c r="D73" i="9" s="1"/>
  <c r="J50" i="10" s="1"/>
  <c r="D74" i="9" a="1"/>
  <c r="D74" i="9" s="1"/>
  <c r="J51" i="10" s="1"/>
  <c r="D75" i="9" a="1"/>
  <c r="D75" i="9" s="1"/>
  <c r="J52" i="10" s="1"/>
  <c r="D77" i="9" a="1"/>
  <c r="D77" i="9" s="1"/>
  <c r="J54" i="10" s="1"/>
  <c r="C71" i="9" a="1"/>
  <c r="C71" i="9" s="1"/>
  <c r="M10" i="10" s="1"/>
  <c r="C73" i="9" a="1"/>
  <c r="C73" i="9" s="1"/>
  <c r="E50" i="10" s="1"/>
  <c r="C75" i="9" a="1"/>
  <c r="C75" i="9" s="1"/>
  <c r="E52" i="10" s="1"/>
  <c r="C77" i="9" a="1"/>
  <c r="C77" i="9" s="1"/>
  <c r="E54" i="10" s="1"/>
  <c r="B70" i="9" a="1"/>
  <c r="B70" i="9" s="1"/>
  <c r="H9" i="10" s="1"/>
  <c r="B71" i="9" a="1"/>
  <c r="B71" i="9" s="1"/>
  <c r="M9" i="10" s="1"/>
  <c r="B72" i="9" a="1"/>
  <c r="B72" i="9" s="1"/>
  <c r="C49" i="10" s="1"/>
  <c r="B73" i="9" a="1"/>
  <c r="B73" i="9" s="1"/>
  <c r="C50" i="10" s="1"/>
  <c r="B74" i="9" a="1"/>
  <c r="B74" i="9" s="1"/>
  <c r="C51" i="10" s="1"/>
  <c r="B75" i="9" a="1"/>
  <c r="B75" i="9" s="1"/>
  <c r="C52" i="10" s="1"/>
  <c r="B76" i="9" a="1"/>
  <c r="B76" i="9" s="1"/>
  <c r="C53" i="10" s="1"/>
  <c r="B77" i="9" a="1"/>
  <c r="B77" i="9" s="1"/>
  <c r="C54" i="10" s="1"/>
  <c r="B78" i="9" a="1"/>
  <c r="B78" i="9" s="1"/>
  <c r="C55" i="10" s="1"/>
  <c r="M13" i="10" l="1"/>
  <c r="M14" i="1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<sst xmlns="http://schemas.openxmlformats.org/spreadsheetml/2006/main" count="1386" uniqueCount="243">
  <si>
    <t>lab_id</t>
  </si>
  <si>
    <t>lab_name</t>
  </si>
  <si>
    <t>pickup</t>
  </si>
  <si>
    <t>Laboratorium A</t>
  </si>
  <si>
    <t>Laboratorium B</t>
  </si>
  <si>
    <t>Laboratorium C</t>
  </si>
  <si>
    <t>Laboratorium D</t>
  </si>
  <si>
    <t>Laboratorium E</t>
  </si>
  <si>
    <t>Laboratorium F</t>
  </si>
  <si>
    <t>test_id</t>
  </si>
  <si>
    <t>test_name</t>
  </si>
  <si>
    <t>test_category</t>
  </si>
  <si>
    <t>TEST001</t>
  </si>
  <si>
    <t>TEST002</t>
  </si>
  <si>
    <t>TEST003</t>
  </si>
  <si>
    <t>TEST004</t>
  </si>
  <si>
    <t>TEST005</t>
  </si>
  <si>
    <t>TEST006</t>
  </si>
  <si>
    <t>TEST007</t>
  </si>
  <si>
    <t>TEST008</t>
  </si>
  <si>
    <t>TEST009</t>
  </si>
  <si>
    <t>TEST010</t>
  </si>
  <si>
    <t>TEST011</t>
  </si>
  <si>
    <t>TEST012</t>
  </si>
  <si>
    <t>TEST013</t>
  </si>
  <si>
    <t>TEST014</t>
  </si>
  <si>
    <t>TEST015</t>
  </si>
  <si>
    <t>TEST016</t>
  </si>
  <si>
    <t>TEST017</t>
  </si>
  <si>
    <t>TEST018</t>
  </si>
  <si>
    <t>TEST019</t>
  </si>
  <si>
    <t>TEST020</t>
  </si>
  <si>
    <t>TEST021</t>
  </si>
  <si>
    <t>TEST022</t>
  </si>
  <si>
    <t>TEST023</t>
  </si>
  <si>
    <t>TEST024</t>
  </si>
  <si>
    <t>TEST025</t>
  </si>
  <si>
    <t>TEST026</t>
  </si>
  <si>
    <t>TEST027</t>
  </si>
  <si>
    <t>TEST028</t>
  </si>
  <si>
    <t>TEST029</t>
  </si>
  <si>
    <t>TEST030</t>
  </si>
  <si>
    <t>ACTH</t>
  </si>
  <si>
    <t>Adiponectin</t>
  </si>
  <si>
    <t>AMA-ASMA</t>
  </si>
  <si>
    <t>ANCA</t>
  </si>
  <si>
    <t>Anti Mycoplasma IgG</t>
  </si>
  <si>
    <t>Anti Mycoplasma IgM</t>
  </si>
  <si>
    <t>anti Salmonella typhi IgG</t>
  </si>
  <si>
    <t>anti Salmonella typhi IgM</t>
  </si>
  <si>
    <t>Antibodi Trombosit</t>
  </si>
  <si>
    <t>anti-ccp</t>
  </si>
  <si>
    <t>anti-HBC IgM</t>
  </si>
  <si>
    <t>Asam Folat</t>
  </si>
  <si>
    <t>AT III</t>
  </si>
  <si>
    <t>Aviditas CMV IgG</t>
  </si>
  <si>
    <t>Aviditas Toxoplasma IgG</t>
  </si>
  <si>
    <t>Beta-2-Mikroglobulin</t>
  </si>
  <si>
    <t>C3</t>
  </si>
  <si>
    <t>C4</t>
  </si>
  <si>
    <t>CA 72-4</t>
  </si>
  <si>
    <t>Calcitonin</t>
  </si>
  <si>
    <t>CD4</t>
  </si>
  <si>
    <t>CD8</t>
  </si>
  <si>
    <t>Coomb's Test</t>
  </si>
  <si>
    <t>C-Peptide</t>
  </si>
  <si>
    <t>Dehydro Testosterone (DHT)</t>
  </si>
  <si>
    <t>DHEAS</t>
  </si>
  <si>
    <t>Digoxin</t>
  </si>
  <si>
    <t>EBV - EA IgA</t>
  </si>
  <si>
    <t>EBV - VCA IgA</t>
  </si>
  <si>
    <t>EBV-VCA IgG Kuantitatif</t>
  </si>
  <si>
    <t>EBV-VCA IgM</t>
  </si>
  <si>
    <t>Fosfatase Asam Prostat (PAP)</t>
  </si>
  <si>
    <t>Fosfatase Asam Total (ACP)</t>
  </si>
  <si>
    <t>Free Light Chain</t>
  </si>
  <si>
    <t>Free Testosteron</t>
  </si>
  <si>
    <t>G 6 PD</t>
  </si>
  <si>
    <t>G6PD neonatal</t>
  </si>
  <si>
    <t>Glycated Albumin</t>
  </si>
  <si>
    <t>Growth Hormon</t>
  </si>
  <si>
    <t>HBV DNA Kuantitatif</t>
  </si>
  <si>
    <t>HCV RNA Kuantitatif</t>
  </si>
  <si>
    <t>HE4 ROMA</t>
  </si>
  <si>
    <t>HIV 1 RNA VIRAL LOAD</t>
  </si>
  <si>
    <t>HLAB 27</t>
  </si>
  <si>
    <t>HPV Genotyping</t>
  </si>
  <si>
    <t>HS Troponin I</t>
  </si>
  <si>
    <t>IgA</t>
  </si>
  <si>
    <t>IGF -1</t>
  </si>
  <si>
    <t>IgG</t>
  </si>
  <si>
    <t>IgM</t>
  </si>
  <si>
    <t>Imunofiksasi</t>
  </si>
  <si>
    <t>Interleukin 6</t>
  </si>
  <si>
    <t>Kultur BTA + Resistensi</t>
  </si>
  <si>
    <t>Kultur Fungi + Resistensi</t>
  </si>
  <si>
    <t>Lipid Total</t>
  </si>
  <si>
    <t>Lupus Antikoagulan</t>
  </si>
  <si>
    <t>M2PK</t>
  </si>
  <si>
    <t>NT Pro BNP</t>
  </si>
  <si>
    <t>Parathyroid Hormon (PTH) intact</t>
  </si>
  <si>
    <t>Phenytoin</t>
  </si>
  <si>
    <t>PIVKA II</t>
  </si>
  <si>
    <t>Procalcitonin</t>
  </si>
  <si>
    <t>Protein C</t>
  </si>
  <si>
    <t>Protein S</t>
  </si>
  <si>
    <t>Protein Urine Kuantitatif</t>
  </si>
  <si>
    <t>SCC</t>
  </si>
  <si>
    <t>SHBG</t>
  </si>
  <si>
    <t>Tacrolimus</t>
  </si>
  <si>
    <t>Transferin</t>
  </si>
  <si>
    <t>Troponin I</t>
  </si>
  <si>
    <t>TSH neonatal</t>
  </si>
  <si>
    <t>TSH Receptor Antibodies (TRAB)</t>
  </si>
  <si>
    <t>TT (Trombine Time)</t>
  </si>
  <si>
    <t>Vitamin A&amp;E</t>
  </si>
  <si>
    <t>Zn</t>
  </si>
  <si>
    <t>TEST031</t>
  </si>
  <si>
    <t>TEST032</t>
  </si>
  <si>
    <t>TEST033</t>
  </si>
  <si>
    <t>TEST034</t>
  </si>
  <si>
    <t>TEST035</t>
  </si>
  <si>
    <t>TEST036</t>
  </si>
  <si>
    <t>TEST037</t>
  </si>
  <si>
    <t>TEST038</t>
  </si>
  <si>
    <t>TEST039</t>
  </si>
  <si>
    <t>TEST040</t>
  </si>
  <si>
    <t>TEST041</t>
  </si>
  <si>
    <t>TEST042</t>
  </si>
  <si>
    <t>TEST043</t>
  </si>
  <si>
    <t>TEST044</t>
  </si>
  <si>
    <t>TEST045</t>
  </si>
  <si>
    <t>TEST046</t>
  </si>
  <si>
    <t>TEST047</t>
  </si>
  <si>
    <t>TEST048</t>
  </si>
  <si>
    <t>TEST049</t>
  </si>
  <si>
    <t>TEST050</t>
  </si>
  <si>
    <t>TEST051</t>
  </si>
  <si>
    <t>TEST052</t>
  </si>
  <si>
    <t>TEST053</t>
  </si>
  <si>
    <t>TEST054</t>
  </si>
  <si>
    <t>TEST055</t>
  </si>
  <si>
    <t>TEST056</t>
  </si>
  <si>
    <t>TEST057</t>
  </si>
  <si>
    <t>TEST058</t>
  </si>
  <si>
    <t>TEST059</t>
  </si>
  <si>
    <t>TEST060</t>
  </si>
  <si>
    <t>TEST061</t>
  </si>
  <si>
    <t>TEST062</t>
  </si>
  <si>
    <t>TEST063</t>
  </si>
  <si>
    <t>TEST064</t>
  </si>
  <si>
    <t>TEST065</t>
  </si>
  <si>
    <t>TEST066</t>
  </si>
  <si>
    <t>TEST067</t>
  </si>
  <si>
    <t>TEST068</t>
  </si>
  <si>
    <t>TEST069</t>
  </si>
  <si>
    <t>TEST070</t>
  </si>
  <si>
    <t>TEST071</t>
  </si>
  <si>
    <t>TEST072</t>
  </si>
  <si>
    <t>TEST073</t>
  </si>
  <si>
    <t>TEST074</t>
  </si>
  <si>
    <t>TEST075</t>
  </si>
  <si>
    <t>TEST076</t>
  </si>
  <si>
    <t>TEST077</t>
  </si>
  <si>
    <t>TEST078</t>
  </si>
  <si>
    <t>price</t>
  </si>
  <si>
    <t>Monday</t>
  </si>
  <si>
    <t>Tuesday</t>
  </si>
  <si>
    <t>Wednesday</t>
  </si>
  <si>
    <t>Thursday</t>
  </si>
  <si>
    <t>Friday</t>
  </si>
  <si>
    <t>Saturday</t>
  </si>
  <si>
    <t>Sunday</t>
  </si>
  <si>
    <t>Bile Acid</t>
  </si>
  <si>
    <t>17-OHP Neonatal</t>
  </si>
  <si>
    <t>HS Troponin T</t>
  </si>
  <si>
    <t>distance</t>
  </si>
  <si>
    <t>L001</t>
  </si>
  <si>
    <t>L002</t>
  </si>
  <si>
    <t>L003</t>
  </si>
  <si>
    <t>L004</t>
  </si>
  <si>
    <t>L005</t>
  </si>
  <si>
    <t>L006</t>
  </si>
  <si>
    <t>H001</t>
  </si>
  <si>
    <t>H002</t>
  </si>
  <si>
    <t>H003</t>
  </si>
  <si>
    <t>H004</t>
  </si>
  <si>
    <t>Hospital A</t>
  </si>
  <si>
    <t>Hospital B</t>
  </si>
  <si>
    <t>Hospital C</t>
  </si>
  <si>
    <t>Hospital D</t>
  </si>
  <si>
    <t>Immunology &amp; Serology</t>
  </si>
  <si>
    <t>Endocrinology &amp; Hormones</t>
  </si>
  <si>
    <t>Clinical Chemistry</t>
  </si>
  <si>
    <t>Haematology</t>
  </si>
  <si>
    <t>PCR</t>
  </si>
  <si>
    <t>Tumor Markers</t>
  </si>
  <si>
    <t>Microbiology</t>
  </si>
  <si>
    <t>TDM</t>
  </si>
  <si>
    <t>result_tat</t>
  </si>
  <si>
    <t>TEST NAME</t>
  </si>
  <si>
    <t>TEST TYPE</t>
  </si>
  <si>
    <t>TODAY IS</t>
  </si>
  <si>
    <t>TABLE CHEAP</t>
  </si>
  <si>
    <t>score</t>
  </si>
  <si>
    <t>TABLE FAST</t>
  </si>
  <si>
    <t>wait_time</t>
  </si>
  <si>
    <t>TABLE BONUS</t>
  </si>
  <si>
    <t>TEST ID</t>
  </si>
  <si>
    <t>rank</t>
  </si>
  <si>
    <t>TABLE FINAL SCORING</t>
  </si>
  <si>
    <t>cheap</t>
  </si>
  <si>
    <t>fast</t>
  </si>
  <si>
    <t>bonus</t>
  </si>
  <si>
    <t>total_scor</t>
  </si>
  <si>
    <t>Routine</t>
  </si>
  <si>
    <t>TABLE SCORE DASHBOARD</t>
  </si>
  <si>
    <t>TAT</t>
  </si>
  <si>
    <t>Schedule</t>
  </si>
  <si>
    <t>🔬  REFERRAL RECOMMENDATION DASHBOARD</t>
  </si>
  <si>
    <t>Laboratory &amp; Hospital Referral Scoring System – Routine &amp; Cito</t>
  </si>
  <si>
    <t>⚙  SELECT PARAMETERS</t>
  </si>
  <si>
    <t xml:space="preserve">  📋  Test Type</t>
  </si>
  <si>
    <t xml:space="preserve">  🧪  Test Name</t>
  </si>
  <si>
    <t xml:space="preserve">  📅  Today is</t>
  </si>
  <si>
    <t>🏆  TOP 3 RECOMMENDATION</t>
  </si>
  <si>
    <t>🥇 RANK 1</t>
  </si>
  <si>
    <t xml:space="preserve">🥇 RANK 2 </t>
  </si>
  <si>
    <t>🥇 RANK 3</t>
  </si>
  <si>
    <t>Name</t>
  </si>
  <si>
    <t>Price</t>
  </si>
  <si>
    <t>Pick up</t>
  </si>
  <si>
    <t>Score</t>
  </si>
  <si>
    <t>📊  COMPARISON CHARTS</t>
  </si>
  <si>
    <t>"BY PRICE" CHARTS</t>
  </si>
  <si>
    <t>Refference</t>
  </si>
  <si>
    <t>"BY TAT" CHARTS</t>
  </si>
  <si>
    <t>📋  OTHER AVAILABLE REFERRALS  (Ranked by Score)</t>
  </si>
  <si>
    <t>Rank</t>
  </si>
  <si>
    <t>Final Score</t>
  </si>
  <si>
    <t>Lab Name</t>
  </si>
  <si>
    <t>Price (Rp)</t>
  </si>
  <si>
    <t>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</si>
</sst>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p-421]* #,##0_-;\-[$Rp-421]* #,##0_-;_-[$Rp-421]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rgb="FFFFFFFF"/>
      <name val="Arial"/>
      <charset val="1"/>
    </font>
    <font>
      <b/>
      <sz val="9"/>
      <color rgb="FF1F4E79"/>
      <name val="Arial"/>
      <charset val="1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rgb="FF1F4E79"/>
      <name val="Arial"/>
      <family val="2"/>
    </font>
    <font>
      <b/>
      <sz val="14"/>
      <color rgb="FF1F4E79"/>
      <name val="Arial"/>
      <family val="2"/>
    </font>
    <font>
      <b/>
      <sz val="16"/>
      <color rgb="FF1F4E79"/>
      <name val="Arial"/>
      <family val="2"/>
    </font>
    <font>
      <b/>
      <sz val="11"/>
      <color rgb="FF1F4E79"/>
      <name val="Arial"/>
      <family val="2"/>
    </font>
    <font>
      <b/>
      <sz val="12"/>
      <color rgb="FFFFFFFF"/>
      <name val="Arial"/>
      <family val="2"/>
    </font>
    <font>
      <b/>
      <i/>
      <sz val="10"/>
      <color rgb="FF888888"/>
      <name val="Arial"/>
      <family val="2"/>
    </font>
    <font>
      <b/>
      <sz val="14"/>
      <color rgb="FFFFFFFF"/>
      <name val="Arial"/>
      <family val="2"/>
    </font>
    <font>
      <b/>
      <sz val="12"/>
      <color rgb="FF404040"/>
      <name val="Arial"/>
      <family val="2"/>
    </font>
    <font>
      <b/>
      <sz val="22"/>
      <color rgb="FFFFFFFF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7F7F7"/>
        <bgColor rgb="FFF9F9F9"/>
      </patternFill>
    </fill>
    <fill>
      <patternFill patternType="solid">
        <fgColor rgb="FF2E75B6"/>
        <bgColor rgb="FF2980B9"/>
      </patternFill>
    </fill>
    <fill>
      <patternFill patternType="solid">
        <fgColor rgb="FFBDD7EE"/>
        <bgColor rgb="FFD9D9D9"/>
      </patternFill>
    </fill>
    <fill>
      <patternFill patternType="solid">
        <fgColor rgb="FFFFFFFF"/>
        <bgColor rgb="FFF9F9F9"/>
      </patternFill>
    </fill>
    <fill>
      <patternFill patternType="solid">
        <fgColor rgb="FF27AE60"/>
        <bgColor rgb="FF70AD47"/>
      </patternFill>
    </fill>
    <fill>
      <patternFill patternType="solid">
        <fgColor rgb="FF2980B9"/>
        <bgColor rgb="FF70AD47"/>
      </patternFill>
    </fill>
    <fill>
      <patternFill patternType="solid">
        <fgColor rgb="FFF39C12"/>
        <bgColor rgb="FF70AD47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rgb="FFEBF3FB"/>
      </patternFill>
    </fill>
    <fill>
      <patternFill patternType="solid">
        <fgColor theme="4" tint="0.79998168889431442"/>
        <bgColor rgb="FFF9F9F9"/>
      </patternFill>
    </fill>
  </fills>
  <borders count="6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27AE60"/>
      </left>
      <right style="medium">
        <color rgb="FF27AE60"/>
      </right>
      <top style="medium">
        <color rgb="FF27AE60"/>
      </top>
      <bottom style="thin">
        <color rgb="FFAAAAAA"/>
      </bottom>
      <diagonal/>
    </border>
    <border>
      <left/>
      <right style="thin">
        <color rgb="FF27AE60"/>
      </right>
      <top style="thin">
        <color rgb="FFAAAAAA"/>
      </top>
      <bottom/>
      <diagonal/>
    </border>
    <border>
      <left/>
      <right style="thin">
        <color rgb="FF27AE60"/>
      </right>
      <top/>
      <bottom/>
      <diagonal/>
    </border>
    <border>
      <left/>
      <right/>
      <top/>
      <bottom style="thin">
        <color rgb="FF27AE60"/>
      </bottom>
      <diagonal/>
    </border>
    <border>
      <left/>
      <right style="thin">
        <color rgb="FF27AE60"/>
      </right>
      <top/>
      <bottom style="thin">
        <color rgb="FF27AE60"/>
      </bottom>
      <diagonal/>
    </border>
    <border>
      <left style="thin">
        <color rgb="FF27AE60"/>
      </left>
      <right style="thin">
        <color rgb="FF2980B9"/>
      </right>
      <top/>
      <bottom/>
      <diagonal/>
    </border>
    <border>
      <left style="thin">
        <color rgb="FF2980B9"/>
      </left>
      <right style="thin">
        <color rgb="FF2980B9"/>
      </right>
      <top style="thin">
        <color rgb="FFAAAAAA"/>
      </top>
      <bottom/>
      <diagonal/>
    </border>
    <border>
      <left style="thin">
        <color rgb="FF2980B9"/>
      </left>
      <right style="thin">
        <color rgb="FF2980B9"/>
      </right>
      <top/>
      <bottom/>
      <diagonal/>
    </border>
    <border>
      <left/>
      <right style="thin">
        <color rgb="FF2980B9"/>
      </right>
      <top style="thin">
        <color rgb="FFAAAAAA"/>
      </top>
      <bottom/>
      <diagonal/>
    </border>
    <border>
      <left/>
      <right style="thin">
        <color rgb="FF2980B9"/>
      </right>
      <top/>
      <bottom/>
      <diagonal/>
    </border>
    <border>
      <left style="thin">
        <color rgb="FF2980B9"/>
      </left>
      <right style="thin">
        <color rgb="FF2980B9"/>
      </right>
      <top/>
      <bottom style="thin">
        <color rgb="FF2980B9"/>
      </bottom>
      <diagonal/>
    </border>
    <border>
      <left/>
      <right/>
      <top/>
      <bottom style="thin">
        <color rgb="FF2980B9"/>
      </bottom>
      <diagonal/>
    </border>
    <border>
      <left/>
      <right style="thin">
        <color rgb="FF2980B9"/>
      </right>
      <top/>
      <bottom style="thin">
        <color rgb="FF2980B9"/>
      </bottom>
      <diagonal/>
    </border>
    <border>
      <left style="thin">
        <color rgb="FF2980B9"/>
      </left>
      <right style="thin">
        <color rgb="FFF39C12"/>
      </right>
      <top/>
      <bottom/>
      <diagonal/>
    </border>
    <border>
      <left/>
      <right style="thin">
        <color rgb="FFF39C12"/>
      </right>
      <top/>
      <bottom/>
      <diagonal/>
    </border>
    <border>
      <left style="thin">
        <color rgb="FFF39C12"/>
      </left>
      <right style="thin">
        <color rgb="FFF39C12"/>
      </right>
      <top style="thin">
        <color rgb="FFAAAAAA"/>
      </top>
      <bottom/>
      <diagonal/>
    </border>
    <border>
      <left style="thin">
        <color rgb="FFF39C12"/>
      </left>
      <right style="thin">
        <color rgb="FFF39C12"/>
      </right>
      <top/>
      <bottom/>
      <diagonal/>
    </border>
    <border>
      <left style="thin">
        <color rgb="FFF39C12"/>
      </left>
      <right style="thin">
        <color rgb="FFF39C12"/>
      </right>
      <top/>
      <bottom style="thin">
        <color rgb="FFF39C12"/>
      </bottom>
      <diagonal/>
    </border>
    <border>
      <left/>
      <right/>
      <top/>
      <bottom style="thin">
        <color rgb="FFF39C12"/>
      </bottom>
      <diagonal/>
    </border>
    <border>
      <left style="thin">
        <color rgb="FF2980B9"/>
      </left>
      <right style="medium">
        <color rgb="FF27AE60"/>
      </right>
      <top style="thin">
        <color rgb="FF2980B9"/>
      </top>
      <bottom style="thin">
        <color rgb="FFAAAAAA"/>
      </bottom>
      <diagonal/>
    </border>
    <border>
      <left style="medium">
        <color rgb="FF27AE60"/>
      </left>
      <right style="medium">
        <color rgb="FF27AE60"/>
      </right>
      <top style="thin">
        <color rgb="FF2980B9"/>
      </top>
      <bottom style="thin">
        <color rgb="FFAAAAAA"/>
      </bottom>
      <diagonal/>
    </border>
    <border>
      <left style="thin">
        <color rgb="FFF39C12"/>
      </left>
      <right style="medium">
        <color rgb="FF27AE60"/>
      </right>
      <top style="thin">
        <color rgb="FFF39C12"/>
      </top>
      <bottom style="thin">
        <color rgb="FFAAAAAA"/>
      </bottom>
      <diagonal/>
    </border>
    <border>
      <left style="medium">
        <color rgb="FF27AE60"/>
      </left>
      <right style="medium">
        <color rgb="FF27AE60"/>
      </right>
      <top style="thin">
        <color rgb="FFF39C12"/>
      </top>
      <bottom style="thin">
        <color rgb="FFAAAAAA"/>
      </bottom>
      <diagonal/>
    </border>
    <border>
      <left style="medium">
        <color rgb="FF27AE60"/>
      </left>
      <right style="thin">
        <color rgb="FF2980B9"/>
      </right>
      <top style="thin">
        <color rgb="FF2980B9"/>
      </top>
      <bottom style="thin">
        <color rgb="FFAAAAAA"/>
      </bottom>
      <diagonal/>
    </border>
    <border>
      <left style="medium">
        <color rgb="FFF39C12"/>
      </left>
      <right/>
      <top style="medium">
        <color rgb="FFF39C12"/>
      </top>
      <bottom style="medium">
        <color rgb="FFF39C12"/>
      </bottom>
      <diagonal/>
    </border>
    <border>
      <left style="medium">
        <color rgb="FFF4B942"/>
      </left>
      <right/>
      <top style="medium">
        <color rgb="FFF39C12"/>
      </top>
      <bottom style="medium">
        <color rgb="FFF39C12"/>
      </bottom>
      <diagonal/>
    </border>
    <border>
      <left style="medium">
        <color rgb="FFF4B942"/>
      </left>
      <right style="medium">
        <color rgb="FFF39C12"/>
      </right>
      <top style="medium">
        <color rgb="FFF39C12"/>
      </top>
      <bottom style="medium">
        <color rgb="FFF39C12"/>
      </bottom>
      <diagonal/>
    </border>
    <border>
      <left style="medium">
        <color rgb="FF1F4E79"/>
      </left>
      <right style="medium">
        <color rgb="FF1F4E79"/>
      </right>
      <top style="medium">
        <color rgb="FF1F4E79"/>
      </top>
      <bottom/>
      <diagonal/>
    </border>
    <border>
      <left style="medium">
        <color rgb="FF1F4E79"/>
      </left>
      <right/>
      <top style="medium">
        <color rgb="FF1F4E79"/>
      </top>
      <bottom/>
      <diagonal/>
    </border>
    <border>
      <left style="medium">
        <color rgb="FF1F4E79"/>
      </left>
      <right/>
      <top/>
      <bottom/>
      <diagonal/>
    </border>
    <border>
      <left/>
      <right/>
      <top style="medium">
        <color rgb="FF002060"/>
      </top>
      <bottom/>
      <diagonal/>
    </border>
    <border>
      <left/>
      <right style="medium">
        <color rgb="FF002060"/>
      </right>
      <top style="medium">
        <color rgb="FF002060"/>
      </top>
      <bottom/>
      <diagonal/>
    </border>
    <border>
      <left/>
      <right style="medium">
        <color rgb="FF002060"/>
      </right>
      <top/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medium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medium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rgb="FF002060"/>
      </left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/>
      <diagonal/>
    </border>
    <border>
      <left style="medium">
        <color rgb="FF002060"/>
      </left>
      <right/>
      <top/>
      <bottom/>
      <diagonal/>
    </border>
    <border>
      <left style="medium">
        <color rgb="FF002060"/>
      </left>
      <right/>
      <top style="medium">
        <color rgb="FFF39C12"/>
      </top>
      <bottom style="medium">
        <color rgb="FFF39C12"/>
      </bottom>
      <diagonal/>
    </border>
    <border>
      <left style="medium">
        <color rgb="FFF4B942"/>
      </left>
      <right style="medium">
        <color rgb="FF002060"/>
      </right>
      <top style="medium">
        <color rgb="FFF39C12"/>
      </top>
      <bottom style="medium">
        <color rgb="FFF39C12"/>
      </bottom>
      <diagonal/>
    </border>
    <border>
      <left style="medium">
        <color rgb="FF002060"/>
      </left>
      <right style="medium">
        <color rgb="FF27AE60"/>
      </right>
      <top style="medium">
        <color rgb="FF27AE60"/>
      </top>
      <bottom style="thin">
        <color rgb="FFAAAAAA"/>
      </bottom>
      <diagonal/>
    </border>
    <border>
      <left style="medium">
        <color rgb="FF27AE60"/>
      </left>
      <right style="medium">
        <color rgb="FF002060"/>
      </right>
      <top style="thin">
        <color rgb="FFF39C12"/>
      </top>
      <bottom style="thin">
        <color rgb="FFAAAAAA"/>
      </bottom>
      <diagonal/>
    </border>
    <border>
      <left style="medium">
        <color rgb="FF002060"/>
      </left>
      <right style="thin">
        <color rgb="FF27AE60"/>
      </right>
      <top style="thin">
        <color rgb="FFAAAAAA"/>
      </top>
      <bottom/>
      <diagonal/>
    </border>
    <border>
      <left/>
      <right style="medium">
        <color rgb="FF002060"/>
      </right>
      <top style="thin">
        <color rgb="FFAAAAAA"/>
      </top>
      <bottom/>
      <diagonal/>
    </border>
    <border>
      <left style="medium">
        <color rgb="FF002060"/>
      </left>
      <right style="thin">
        <color rgb="FF27AE60"/>
      </right>
      <top/>
      <bottom/>
      <diagonal/>
    </border>
    <border>
      <left style="medium">
        <color rgb="FF002060"/>
      </left>
      <right style="thin">
        <color rgb="FF27AE60"/>
      </right>
      <top/>
      <bottom style="thin">
        <color rgb="FF27AE60"/>
      </bottom>
      <diagonal/>
    </border>
    <border>
      <left/>
      <right style="medium">
        <color rgb="FF002060"/>
      </right>
      <top/>
      <bottom style="thin">
        <color rgb="FFF39C12"/>
      </bottom>
      <diagonal/>
    </border>
    <border>
      <left style="medium">
        <color rgb="FF002060"/>
      </left>
      <right style="medium">
        <color rgb="FF1F4E79"/>
      </right>
      <top style="medium">
        <color rgb="FF1F4E79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6" xfId="0" applyFont="1" applyBorder="1"/>
    <xf numFmtId="0" fontId="0" fillId="0" borderId="7" xfId="0" applyFont="1" applyBorder="1"/>
    <xf numFmtId="0" fontId="0" fillId="0" borderId="8" xfId="0" applyFont="1" applyBorder="1"/>
    <xf numFmtId="0" fontId="0" fillId="0" borderId="1" xfId="0" applyFill="1" applyBorder="1"/>
    <xf numFmtId="0" fontId="0" fillId="0" borderId="0" xfId="0" applyFill="1" applyBorder="1"/>
    <xf numFmtId="0" fontId="0" fillId="0" borderId="10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10" xfId="0" applyBorder="1"/>
    <xf numFmtId="0" fontId="0" fillId="0" borderId="6" xfId="0" applyFill="1" applyBorder="1"/>
    <xf numFmtId="164" fontId="0" fillId="0" borderId="0" xfId="0" applyNumberFormat="1"/>
    <xf numFmtId="0" fontId="0" fillId="11" borderId="12" xfId="0" applyFill="1" applyBorder="1" applyAlignment="1">
      <alignment horizontal="left" vertical="center"/>
    </xf>
    <xf numFmtId="164" fontId="0" fillId="10" borderId="13" xfId="0" applyNumberFormat="1" applyFill="1" applyBorder="1" applyAlignment="1">
      <alignment horizontal="left" vertical="center"/>
    </xf>
    <xf numFmtId="0" fontId="0" fillId="10" borderId="13" xfId="0" applyFill="1" applyBorder="1" applyAlignment="1">
      <alignment horizontal="left" vertical="center"/>
    </xf>
    <xf numFmtId="0" fontId="6" fillId="10" borderId="14" xfId="0" applyFont="1" applyFill="1" applyBorder="1" applyAlignment="1">
      <alignment horizontal="left" vertical="center"/>
    </xf>
    <xf numFmtId="0" fontId="0" fillId="10" borderId="14" xfId="0" applyFill="1" applyBorder="1" applyAlignment="1">
      <alignment horizontal="left" vertical="center"/>
    </xf>
    <xf numFmtId="0" fontId="0" fillId="10" borderId="15" xfId="0" applyFill="1" applyBorder="1" applyAlignment="1">
      <alignment horizontal="left" vertical="center"/>
    </xf>
    <xf numFmtId="164" fontId="0" fillId="12" borderId="20" xfId="0" applyNumberFormat="1" applyFill="1" applyBorder="1" applyAlignment="1">
      <alignment horizontal="left" vertical="center"/>
    </xf>
    <xf numFmtId="0" fontId="0" fillId="12" borderId="20" xfId="0" applyFill="1" applyBorder="1" applyAlignment="1">
      <alignment horizontal="left" vertical="center"/>
    </xf>
    <xf numFmtId="0" fontId="6" fillId="12" borderId="22" xfId="0" applyFont="1" applyFill="1" applyBorder="1" applyAlignment="1">
      <alignment horizontal="left" vertical="center"/>
    </xf>
    <xf numFmtId="0" fontId="0" fillId="12" borderId="22" xfId="0" applyFill="1" applyBorder="1" applyAlignment="1">
      <alignment horizontal="left" vertical="center"/>
    </xf>
    <xf numFmtId="0" fontId="0" fillId="12" borderId="23" xfId="0" applyFill="1" applyBorder="1" applyAlignment="1">
      <alignment horizontal="left" vertical="center"/>
    </xf>
    <xf numFmtId="0" fontId="6" fillId="13" borderId="17" xfId="0" applyFont="1" applyFill="1" applyBorder="1" applyAlignment="1">
      <alignment horizontal="left" vertical="center"/>
    </xf>
    <xf numFmtId="164" fontId="4" fillId="13" borderId="18" xfId="0" applyNumberFormat="1" applyFont="1" applyFill="1" applyBorder="1" applyAlignment="1">
      <alignment horizontal="left" vertical="center"/>
    </xf>
    <xf numFmtId="0" fontId="4" fillId="13" borderId="18" xfId="0" applyFont="1" applyFill="1" applyBorder="1" applyAlignment="1">
      <alignment horizontal="left" vertical="center"/>
    </xf>
    <xf numFmtId="0" fontId="4" fillId="13" borderId="21" xfId="0" applyFont="1" applyFill="1" applyBorder="1" applyAlignment="1">
      <alignment horizontal="left" vertical="center"/>
    </xf>
    <xf numFmtId="0" fontId="0" fillId="13" borderId="19" xfId="0" applyFill="1" applyBorder="1" applyAlignment="1">
      <alignment horizontal="left" vertical="center"/>
    </xf>
    <xf numFmtId="0" fontId="6" fillId="15" borderId="26" xfId="0" applyFont="1" applyFill="1" applyBorder="1" applyAlignment="1">
      <alignment horizontal="left" vertical="center"/>
    </xf>
    <xf numFmtId="164" fontId="4" fillId="15" borderId="27" xfId="0" applyNumberFormat="1" applyFont="1" applyFill="1" applyBorder="1" applyAlignment="1">
      <alignment horizontal="left" vertical="center"/>
    </xf>
    <xf numFmtId="0" fontId="4" fillId="15" borderId="27" xfId="0" applyFont="1" applyFill="1" applyBorder="1" applyAlignment="1">
      <alignment horizontal="left" vertical="center"/>
    </xf>
    <xf numFmtId="0" fontId="4" fillId="15" borderId="28" xfId="0" applyFont="1" applyFill="1" applyBorder="1" applyAlignment="1">
      <alignment horizontal="left" vertical="center"/>
    </xf>
    <xf numFmtId="0" fontId="6" fillId="14" borderId="29" xfId="0" applyFont="1" applyFill="1" applyBorder="1" applyAlignment="1">
      <alignment horizontal="left" vertical="center"/>
    </xf>
    <xf numFmtId="0" fontId="0" fillId="14" borderId="29" xfId="0" applyFill="1" applyBorder="1" applyAlignment="1">
      <alignment horizontal="left" vertical="center"/>
    </xf>
    <xf numFmtId="164" fontId="0" fillId="0" borderId="0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8" xfId="0" applyNumberFormat="1" applyBorder="1"/>
    <xf numFmtId="0" fontId="0" fillId="0" borderId="6" xfId="0" quotePrefix="1" applyBorder="1"/>
    <xf numFmtId="0" fontId="0" fillId="0" borderId="0" xfId="0" applyAlignment="1">
      <alignment horizontal="center" vertical="center"/>
    </xf>
    <xf numFmtId="0" fontId="13" fillId="2" borderId="38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horizontal="left" vertical="center"/>
    </xf>
    <xf numFmtId="0" fontId="0" fillId="0" borderId="54" xfId="0" applyBorder="1"/>
    <xf numFmtId="0" fontId="0" fillId="0" borderId="43" xfId="0" applyBorder="1"/>
    <xf numFmtId="0" fontId="6" fillId="11" borderId="59" xfId="0" applyFont="1" applyFill="1" applyBorder="1" applyAlignment="1">
      <alignment horizontal="left" vertical="center"/>
    </xf>
    <xf numFmtId="0" fontId="6" fillId="11" borderId="0" xfId="0" applyFont="1" applyFill="1" applyBorder="1" applyAlignment="1">
      <alignment horizontal="left" vertical="center"/>
    </xf>
    <xf numFmtId="0" fontId="0" fillId="11" borderId="0" xfId="0" applyFill="1" applyBorder="1" applyAlignment="1">
      <alignment horizontal="left" vertical="center"/>
    </xf>
    <xf numFmtId="0" fontId="6" fillId="13" borderId="0" xfId="0" applyFont="1" applyFill="1" applyBorder="1" applyAlignment="1">
      <alignment horizontal="left" vertical="center"/>
    </xf>
    <xf numFmtId="0" fontId="0" fillId="13" borderId="0" xfId="0" applyFill="1" applyBorder="1" applyAlignment="1">
      <alignment horizontal="left" vertical="center"/>
    </xf>
    <xf numFmtId="0" fontId="6" fillId="15" borderId="0" xfId="0" applyFont="1" applyFill="1" applyBorder="1" applyAlignment="1">
      <alignment horizontal="left" vertical="center"/>
    </xf>
    <xf numFmtId="0" fontId="0" fillId="15" borderId="0" xfId="0" applyFill="1" applyBorder="1" applyAlignment="1">
      <alignment horizontal="left" vertical="center"/>
    </xf>
    <xf numFmtId="0" fontId="0" fillId="15" borderId="60" xfId="0" applyFill="1" applyBorder="1" applyAlignment="1">
      <alignment horizontal="left" vertical="center"/>
    </xf>
    <xf numFmtId="164" fontId="4" fillId="11" borderId="61" xfId="0" applyNumberFormat="1" applyFont="1" applyFill="1" applyBorder="1" applyAlignment="1">
      <alignment horizontal="left" vertical="center"/>
    </xf>
    <xf numFmtId="164" fontId="6" fillId="10" borderId="0" xfId="0" applyNumberFormat="1" applyFont="1" applyFill="1" applyBorder="1" applyAlignment="1">
      <alignment horizontal="left" vertical="center"/>
    </xf>
    <xf numFmtId="164" fontId="0" fillId="10" borderId="0" xfId="0" applyNumberFormat="1" applyFill="1" applyBorder="1" applyAlignment="1">
      <alignment horizontal="left" vertical="center"/>
    </xf>
    <xf numFmtId="164" fontId="6" fillId="12" borderId="0" xfId="0" applyNumberFormat="1" applyFont="1" applyFill="1" applyBorder="1" applyAlignment="1">
      <alignment horizontal="left" vertical="center"/>
    </xf>
    <xf numFmtId="164" fontId="0" fillId="12" borderId="0" xfId="0" applyNumberFormat="1" applyFill="1" applyBorder="1" applyAlignment="1">
      <alignment horizontal="left" vertical="center"/>
    </xf>
    <xf numFmtId="164" fontId="6" fillId="14" borderId="0" xfId="0" applyNumberFormat="1" applyFont="1" applyFill="1" applyBorder="1" applyAlignment="1">
      <alignment horizontal="left" vertical="center"/>
    </xf>
    <xf numFmtId="164" fontId="0" fillId="14" borderId="0" xfId="0" applyNumberFormat="1" applyFill="1" applyBorder="1" applyAlignment="1">
      <alignment horizontal="left" vertical="center"/>
    </xf>
    <xf numFmtId="164" fontId="0" fillId="14" borderId="43" xfId="0" applyNumberFormat="1" applyFill="1" applyBorder="1" applyAlignment="1">
      <alignment horizontal="left" vertical="center"/>
    </xf>
    <xf numFmtId="0" fontId="4" fillId="11" borderId="61" xfId="0" applyFont="1" applyFill="1" applyBorder="1" applyAlignment="1">
      <alignment horizontal="left" vertical="center"/>
    </xf>
    <xf numFmtId="0" fontId="6" fillId="10" borderId="0" xfId="0" applyFont="1" applyFill="1" applyBorder="1" applyAlignment="1">
      <alignment horizontal="left" vertical="center"/>
    </xf>
    <xf numFmtId="0" fontId="0" fillId="10" borderId="0" xfId="0" applyFill="1" applyBorder="1" applyAlignment="1">
      <alignment horizontal="left" vertical="center"/>
    </xf>
    <xf numFmtId="0" fontId="6" fillId="12" borderId="0" xfId="0" applyFont="1" applyFill="1" applyBorder="1" applyAlignment="1">
      <alignment horizontal="left" vertical="center"/>
    </xf>
    <xf numFmtId="0" fontId="0" fillId="12" borderId="0" xfId="0" applyFill="1" applyBorder="1" applyAlignment="1">
      <alignment horizontal="left" vertical="center"/>
    </xf>
    <xf numFmtId="0" fontId="6" fillId="14" borderId="0" xfId="0" applyFont="1" applyFill="1" applyBorder="1" applyAlignment="1">
      <alignment horizontal="left" vertical="center"/>
    </xf>
    <xf numFmtId="0" fontId="0" fillId="14" borderId="0" xfId="0" applyFill="1" applyBorder="1" applyAlignment="1">
      <alignment horizontal="left" vertical="center"/>
    </xf>
    <xf numFmtId="0" fontId="0" fillId="14" borderId="43" xfId="0" applyFill="1" applyBorder="1" applyAlignment="1">
      <alignment horizontal="left" vertical="center"/>
    </xf>
    <xf numFmtId="0" fontId="4" fillId="11" borderId="62" xfId="0" applyFont="1" applyFill="1" applyBorder="1" applyAlignment="1">
      <alignment horizontal="left" vertical="center"/>
    </xf>
    <xf numFmtId="0" fontId="0" fillId="14" borderId="63" xfId="0" applyFill="1" applyBorder="1" applyAlignment="1">
      <alignment horizontal="left" vertical="center"/>
    </xf>
    <xf numFmtId="0" fontId="13" fillId="2" borderId="64" xfId="0" applyFont="1" applyFill="1" applyBorder="1" applyAlignment="1">
      <alignment horizontal="center" vertical="center"/>
    </xf>
    <xf numFmtId="0" fontId="14" fillId="6" borderId="45" xfId="0" applyFont="1" applyFill="1" applyBorder="1" applyAlignment="1">
      <alignment horizontal="center" vertical="center"/>
    </xf>
    <xf numFmtId="1" fontId="14" fillId="6" borderId="46" xfId="0" applyNumberFormat="1" applyFont="1" applyFill="1" applyBorder="1" applyAlignment="1">
      <alignment horizontal="center" vertical="center"/>
    </xf>
    <xf numFmtId="0" fontId="14" fillId="16" borderId="48" xfId="0" applyFont="1" applyFill="1" applyBorder="1" applyAlignment="1">
      <alignment horizontal="center" vertical="center"/>
    </xf>
    <xf numFmtId="1" fontId="14" fillId="17" borderId="44" xfId="0" applyNumberFormat="1" applyFont="1" applyFill="1" applyBorder="1" applyAlignment="1">
      <alignment horizontal="center" vertical="center"/>
    </xf>
    <xf numFmtId="0" fontId="14" fillId="6" borderId="48" xfId="0" applyFont="1" applyFill="1" applyBorder="1" applyAlignment="1">
      <alignment horizontal="center" vertical="center"/>
    </xf>
    <xf numFmtId="1" fontId="14" fillId="6" borderId="44" xfId="0" applyNumberFormat="1" applyFont="1" applyFill="1" applyBorder="1" applyAlignment="1">
      <alignment horizontal="center" vertical="center"/>
    </xf>
    <xf numFmtId="0" fontId="14" fillId="6" borderId="50" xfId="0" applyFont="1" applyFill="1" applyBorder="1" applyAlignment="1">
      <alignment horizontal="center" vertical="center"/>
    </xf>
    <xf numFmtId="1" fontId="14" fillId="6" borderId="51" xfId="0" applyNumberFormat="1" applyFont="1" applyFill="1" applyBorder="1" applyAlignment="1">
      <alignment horizontal="center" vertical="center"/>
    </xf>
    <xf numFmtId="0" fontId="0" fillId="12" borderId="0" xfId="0" applyFill="1" applyBorder="1"/>
    <xf numFmtId="0" fontId="0" fillId="12" borderId="54" xfId="0" applyFill="1" applyBorder="1"/>
    <xf numFmtId="0" fontId="0" fillId="12" borderId="43" xfId="0" applyFill="1" applyBorder="1"/>
    <xf numFmtId="0" fontId="0" fillId="12" borderId="16" xfId="0" applyFill="1" applyBorder="1"/>
    <xf numFmtId="164" fontId="0" fillId="12" borderId="16" xfId="0" applyNumberFormat="1" applyFill="1" applyBorder="1"/>
    <xf numFmtId="0" fontId="0" fillId="12" borderId="25" xfId="0" applyFill="1" applyBorder="1"/>
    <xf numFmtId="0" fontId="0" fillId="12" borderId="24" xfId="0" applyFill="1" applyBorder="1"/>
    <xf numFmtId="164" fontId="0" fillId="12" borderId="24" xfId="0" applyNumberFormat="1" applyFill="1" applyBorder="1"/>
    <xf numFmtId="2" fontId="14" fillId="17" borderId="44" xfId="0" applyNumberFormat="1" applyFont="1" applyFill="1" applyBorder="1" applyAlignment="1">
      <alignment horizontal="center" vertical="center"/>
    </xf>
    <xf numFmtId="2" fontId="14" fillId="17" borderId="49" xfId="0" applyNumberFormat="1" applyFont="1" applyFill="1" applyBorder="1" applyAlignment="1">
      <alignment horizontal="center" vertical="center"/>
    </xf>
    <xf numFmtId="2" fontId="14" fillId="6" borderId="51" xfId="0" applyNumberFormat="1" applyFont="1" applyFill="1" applyBorder="1" applyAlignment="1">
      <alignment horizontal="center" vertical="center"/>
    </xf>
    <xf numFmtId="2" fontId="14" fillId="6" borderId="52" xfId="0" applyNumberFormat="1" applyFont="1" applyFill="1" applyBorder="1" applyAlignment="1">
      <alignment horizontal="center" vertical="center"/>
    </xf>
    <xf numFmtId="0" fontId="13" fillId="2" borderId="4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2" borderId="43" xfId="0" applyFont="1" applyFill="1" applyBorder="1" applyAlignment="1">
      <alignment horizontal="center" vertical="center"/>
    </xf>
    <xf numFmtId="2" fontId="14" fillId="6" borderId="46" xfId="0" applyNumberFormat="1" applyFont="1" applyFill="1" applyBorder="1" applyAlignment="1">
      <alignment horizontal="center" vertical="center"/>
    </xf>
    <xf numFmtId="2" fontId="14" fillId="6" borderId="47" xfId="0" applyNumberFormat="1" applyFont="1" applyFill="1" applyBorder="1" applyAlignment="1">
      <alignment horizontal="center" vertical="center"/>
    </xf>
    <xf numFmtId="2" fontId="14" fillId="6" borderId="44" xfId="0" applyNumberFormat="1" applyFont="1" applyFill="1" applyBorder="1" applyAlignment="1">
      <alignment horizontal="center" vertical="center"/>
    </xf>
    <xf numFmtId="2" fontId="14" fillId="6" borderId="49" xfId="0" applyNumberFormat="1" applyFont="1" applyFill="1" applyBorder="1" applyAlignment="1">
      <alignment horizontal="center" vertical="center"/>
    </xf>
    <xf numFmtId="0" fontId="14" fillId="6" borderId="51" xfId="0" applyFont="1" applyFill="1" applyBorder="1" applyAlignment="1">
      <alignment horizontal="left" vertical="center" wrapText="1"/>
    </xf>
    <xf numFmtId="3" fontId="14" fillId="6" borderId="51" xfId="0" applyNumberFormat="1" applyFont="1" applyFill="1" applyBorder="1" applyAlignment="1">
      <alignment horizontal="center" vertical="center"/>
    </xf>
    <xf numFmtId="0" fontId="14" fillId="6" borderId="51" xfId="0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left" vertical="center" wrapText="1"/>
    </xf>
    <xf numFmtId="3" fontId="14" fillId="6" borderId="44" xfId="0" applyNumberFormat="1" applyFont="1" applyFill="1" applyBorder="1" applyAlignment="1">
      <alignment horizontal="center" vertical="center"/>
    </xf>
    <xf numFmtId="0" fontId="14" fillId="6" borderId="44" xfId="0" applyFont="1" applyFill="1" applyBorder="1" applyAlignment="1">
      <alignment horizontal="center" vertical="center"/>
    </xf>
    <xf numFmtId="0" fontId="14" fillId="16" borderId="44" xfId="0" applyFont="1" applyFill="1" applyBorder="1" applyAlignment="1">
      <alignment horizontal="left" vertical="center" wrapText="1"/>
    </xf>
    <xf numFmtId="3" fontId="14" fillId="16" borderId="44" xfId="0" applyNumberFormat="1" applyFont="1" applyFill="1" applyBorder="1" applyAlignment="1">
      <alignment horizontal="center" vertical="center"/>
    </xf>
    <xf numFmtId="0" fontId="14" fillId="16" borderId="44" xfId="0" applyFont="1" applyFill="1" applyBorder="1" applyAlignment="1">
      <alignment horizontal="center" vertical="center"/>
    </xf>
    <xf numFmtId="0" fontId="14" fillId="17" borderId="44" xfId="0" applyFont="1" applyFill="1" applyBorder="1" applyAlignment="1">
      <alignment horizontal="center" vertical="center"/>
    </xf>
    <xf numFmtId="0" fontId="14" fillId="6" borderId="46" xfId="0" applyFont="1" applyFill="1" applyBorder="1" applyAlignment="1">
      <alignment horizontal="left" vertical="center" wrapText="1"/>
    </xf>
    <xf numFmtId="3" fontId="14" fillId="6" borderId="46" xfId="0" applyNumberFormat="1" applyFont="1" applyFill="1" applyBorder="1" applyAlignment="1">
      <alignment horizontal="center" vertical="center"/>
    </xf>
    <xf numFmtId="0" fontId="14" fillId="6" borderId="46" xfId="0" applyFont="1" applyFill="1" applyBorder="1" applyAlignment="1">
      <alignment horizontal="center" vertical="center"/>
    </xf>
    <xf numFmtId="0" fontId="13" fillId="2" borderId="39" xfId="0" applyFont="1" applyFill="1" applyBorder="1" applyAlignment="1">
      <alignment horizontal="center" vertical="center"/>
    </xf>
    <xf numFmtId="0" fontId="11" fillId="2" borderId="54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1" fillId="2" borderId="43" xfId="0" applyFont="1" applyFill="1" applyBorder="1" applyAlignment="1">
      <alignment horizontal="left" vertical="center"/>
    </xf>
    <xf numFmtId="0" fontId="1" fillId="2" borderId="54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  <xf numFmtId="0" fontId="1" fillId="2" borderId="43" xfId="0" applyFont="1" applyFill="1" applyBorder="1" applyAlignment="1">
      <alignment horizontal="left" vertical="center"/>
    </xf>
    <xf numFmtId="0" fontId="1" fillId="7" borderId="57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8" borderId="30" xfId="0" applyFont="1" applyFill="1" applyBorder="1" applyAlignment="1">
      <alignment horizontal="center" vertical="center"/>
    </xf>
    <xf numFmtId="0" fontId="1" fillId="8" borderId="31" xfId="0" applyFont="1" applyFill="1" applyBorder="1" applyAlignment="1">
      <alignment horizontal="center" vertical="center"/>
    </xf>
    <xf numFmtId="0" fontId="1" fillId="8" borderId="34" xfId="0" applyFont="1" applyFill="1" applyBorder="1" applyAlignment="1">
      <alignment horizontal="center" vertical="center"/>
    </xf>
    <xf numFmtId="0" fontId="1" fillId="9" borderId="32" xfId="0" applyFont="1" applyFill="1" applyBorder="1" applyAlignment="1">
      <alignment horizontal="center" vertical="center"/>
    </xf>
    <xf numFmtId="0" fontId="1" fillId="9" borderId="33" xfId="0" applyFont="1" applyFill="1" applyBorder="1" applyAlignment="1">
      <alignment horizontal="center" vertical="center"/>
    </xf>
    <xf numFmtId="0" fontId="1" fillId="9" borderId="58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left" vertical="center"/>
    </xf>
    <xf numFmtId="0" fontId="5" fillId="4" borderId="0" xfId="0" applyFont="1" applyFill="1" applyBorder="1" applyAlignment="1">
      <alignment horizontal="left" vertical="center"/>
    </xf>
    <xf numFmtId="0" fontId="5" fillId="4" borderId="43" xfId="0" applyFont="1" applyFill="1" applyBorder="1" applyAlignment="1">
      <alignment horizontal="left" vertical="center"/>
    </xf>
    <xf numFmtId="0" fontId="15" fillId="2" borderId="53" xfId="0" applyFont="1" applyFill="1" applyBorder="1" applyAlignment="1">
      <alignment horizontal="center" vertical="center"/>
    </xf>
    <xf numFmtId="0" fontId="15" fillId="2" borderId="41" xfId="0" applyFont="1" applyFill="1" applyBorder="1" applyAlignment="1">
      <alignment horizontal="center" vertical="center"/>
    </xf>
    <xf numFmtId="0" fontId="15" fillId="2" borderId="42" xfId="0" applyFont="1" applyFill="1" applyBorder="1" applyAlignment="1">
      <alignment horizontal="center" vertical="center"/>
    </xf>
    <xf numFmtId="0" fontId="12" fillId="3" borderId="54" xfId="0" applyFont="1" applyFill="1" applyBorder="1" applyAlignment="1">
      <alignment horizontal="center" vertical="center"/>
    </xf>
    <xf numFmtId="0" fontId="12" fillId="3" borderId="0" xfId="0" applyFont="1" applyFill="1" applyBorder="1" applyAlignment="1">
      <alignment horizontal="center" vertical="center"/>
    </xf>
    <xf numFmtId="0" fontId="12" fillId="3" borderId="43" xfId="0" applyFont="1" applyFill="1" applyBorder="1" applyAlignment="1">
      <alignment horizontal="center" vertical="center"/>
    </xf>
    <xf numFmtId="0" fontId="1" fillId="4" borderId="54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4" borderId="43" xfId="0" applyFont="1" applyFill="1" applyBorder="1" applyAlignment="1">
      <alignment horizontal="left" vertical="center"/>
    </xf>
    <xf numFmtId="0" fontId="10" fillId="5" borderId="54" xfId="0" applyFont="1" applyFill="1" applyBorder="1" applyAlignment="1">
      <alignment horizontal="left" vertical="center"/>
    </xf>
    <xf numFmtId="0" fontId="10" fillId="5" borderId="0" xfId="0" applyFont="1" applyFill="1" applyBorder="1" applyAlignment="1">
      <alignment horizontal="left" vertical="center"/>
    </xf>
    <xf numFmtId="0" fontId="9" fillId="6" borderId="55" xfId="0" applyFont="1" applyFill="1" applyBorder="1" applyAlignment="1" applyProtection="1">
      <alignment horizontal="center" vertical="center"/>
      <protection locked="0"/>
    </xf>
    <xf numFmtId="0" fontId="9" fillId="6" borderId="36" xfId="0" applyFont="1" applyFill="1" applyBorder="1" applyAlignment="1" applyProtection="1">
      <alignment horizontal="center" vertical="center"/>
      <protection locked="0"/>
    </xf>
    <xf numFmtId="0" fontId="9" fillId="6" borderId="37" xfId="0" applyFont="1" applyFill="1" applyBorder="1" applyAlignment="1" applyProtection="1">
      <alignment horizontal="center" vertical="center"/>
      <protection locked="0"/>
    </xf>
    <xf numFmtId="0" fontId="7" fillId="6" borderId="35" xfId="0" applyFont="1" applyFill="1" applyBorder="1" applyAlignment="1" applyProtection="1">
      <alignment horizontal="center" vertical="center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0" fontId="7" fillId="6" borderId="37" xfId="0" applyFont="1" applyFill="1" applyBorder="1" applyAlignment="1" applyProtection="1">
      <alignment horizontal="center" vertical="center"/>
      <protection locked="0"/>
    </xf>
    <xf numFmtId="0" fontId="10" fillId="5" borderId="43" xfId="0" applyFont="1" applyFill="1" applyBorder="1" applyAlignment="1">
      <alignment horizontal="left" vertical="center"/>
    </xf>
    <xf numFmtId="0" fontId="8" fillId="6" borderId="35" xfId="0" applyFont="1" applyFill="1" applyBorder="1" applyAlignment="1" applyProtection="1">
      <alignment horizontal="center" vertical="center"/>
      <protection locked="0"/>
    </xf>
    <xf numFmtId="0" fontId="8" fillId="6" borderId="36" xfId="0" applyFont="1" applyFill="1" applyBorder="1" applyAlignment="1" applyProtection="1">
      <alignment horizontal="center" vertical="center"/>
      <protection locked="0"/>
    </xf>
    <xf numFmtId="0" fontId="8" fillId="6" borderId="5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9C12"/>
      <color rgb="FF2980B9"/>
      <color rgb="FF27AE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 by Price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>
        <c:manualLayout>
          <c:layoutTarget val="inner"/>
          <c:xMode val="edge"/>
          <c:yMode val="edge"/>
          <c:x val="0.1566172776789998"/>
          <c:y val="0.1480638257142956"/>
          <c:w val="0.79750439797175887"/>
          <c:h val="0.695456112827537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 Price 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6BC-4220-AF8C-DE8DDF579B59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6BC-4220-AF8C-DE8DDF579B5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6BC-4220-AF8C-DE8DDF579B5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6BC-4220-AF8C-DE8DDF579B5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6BC-4220-AF8C-DE8DDF579B5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F6BC-4220-AF8C-DE8DDF579B5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F6BC-4220-AF8C-DE8DDF579B5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6BC-4220-AF8C-DE8DDF579B5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F6BC-4220-AF8C-DE8DDF579B59}"/>
              </c:ext>
            </c:extLst>
          </c:dPt>
          <c:cat>
            <c:strRef>
              <c:f>CHARTS!$D$4:$D$13</c:f>
              <c:strCache>
                <c:ptCount val="10"/>
                <c:pt idx="0">
                  <c:v>Hospital A</c:v>
                </c:pt>
                <c:pt idx="1">
                  <c:v>Hospital C</c:v>
                </c:pt>
                <c:pt idx="2">
                  <c:v>Hospital D</c:v>
                </c:pt>
                <c:pt idx="3">
                  <c:v>Hospital B</c:v>
                </c:pt>
                <c:pt idx="4">
                  <c:v>Laboratorium B</c:v>
                </c:pt>
                <c:pt idx="5">
                  <c:v>Laboratorium C</c:v>
                </c:pt>
                <c:pt idx="6">
                  <c:v>Laboratorium D</c:v>
                </c:pt>
                <c:pt idx="7">
                  <c:v>Laboratorium A</c:v>
                </c:pt>
                <c:pt idx="8">
                  <c:v>Laboratorium F</c:v>
                </c:pt>
                <c:pt idx="9">
                  <c:v>Laboratorium E</c:v>
                </c:pt>
              </c:strCache>
            </c:strRef>
          </c:cat>
          <c:val>
            <c:numRef>
              <c:f>CHARTS!$C$4:$C$13</c:f>
              <c:numCache>
                <c:formatCode>_-[$Rp-421]* #,##0_-;\-[$Rp-421]* #,##0_-;_-[$Rp-421]* "-"??_-;_-@_-</c:formatCode>
                <c:ptCount val="10"/>
                <c:pt idx="0">
                  <c:v>600000</c:v>
                </c:pt>
                <c:pt idx="1">
                  <c:v>600000</c:v>
                </c:pt>
                <c:pt idx="2">
                  <c:v>610000</c:v>
                </c:pt>
                <c:pt idx="3">
                  <c:v>615000</c:v>
                </c:pt>
                <c:pt idx="4">
                  <c:v>800000</c:v>
                </c:pt>
                <c:pt idx="5">
                  <c:v>815000</c:v>
                </c:pt>
                <c:pt idx="6">
                  <c:v>820000</c:v>
                </c:pt>
                <c:pt idx="7">
                  <c:v>825000</c:v>
                </c:pt>
                <c:pt idx="8">
                  <c:v>825000</c:v>
                </c:pt>
                <c:pt idx="9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F6BC-4220-AF8C-DE8DDF579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719423"/>
        <c:axId val="1829719839"/>
      </c:barChart>
      <c:catAx>
        <c:axId val="182971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19839"/>
        <c:crosses val="autoZero"/>
        <c:auto val="1"/>
        <c:lblAlgn val="ctr"/>
        <c:lblOffset val="100"/>
        <c:noMultiLvlLbl val="0"/>
      </c:catAx>
      <c:valAx>
        <c:axId val="1829719839"/>
        <c:scaling>
          <c:orientation val="minMax"/>
          <c:max val="2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1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 by TAT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44-4467-B674-490A35396E9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44-4467-B674-490A35396E9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44-4467-B674-490A35396E9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5044-4467-B674-490A35396E9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5044-4467-B674-490A35396E97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5044-4467-B674-490A35396E9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5044-4467-B674-490A35396E97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5044-4467-B674-490A35396E9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5044-4467-B674-490A35396E97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5044-4467-B674-490A35396E97}"/>
              </c:ext>
            </c:extLst>
          </c:dPt>
          <c:cat>
            <c:strRef>
              <c:f>CHARTS!$B$33:$B$42</c:f>
              <c:strCache>
                <c:ptCount val="10"/>
                <c:pt idx="0">
                  <c:v>Laboratorium A</c:v>
                </c:pt>
                <c:pt idx="1">
                  <c:v>Laboratorium B</c:v>
                </c:pt>
                <c:pt idx="2">
                  <c:v>Laboratorium C</c:v>
                </c:pt>
                <c:pt idx="3">
                  <c:v>Laboratorium D</c:v>
                </c:pt>
                <c:pt idx="4">
                  <c:v>Laboratorium E</c:v>
                </c:pt>
                <c:pt idx="5">
                  <c:v>Laboratorium F</c:v>
                </c:pt>
                <c:pt idx="6">
                  <c:v>Hospital A</c:v>
                </c:pt>
                <c:pt idx="7">
                  <c:v>Hospital B</c:v>
                </c:pt>
                <c:pt idx="8">
                  <c:v>Hospital C</c:v>
                </c:pt>
                <c:pt idx="9">
                  <c:v>Hospital D</c:v>
                </c:pt>
              </c:strCache>
            </c:strRef>
          </c:cat>
          <c:val>
            <c:numRef>
              <c:f>CHARTS!$A$33:$A$42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044-4467-B674-490A35396E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703199"/>
        <c:axId val="1829704447"/>
      </c:barChart>
      <c:catAx>
        <c:axId val="18297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04447"/>
        <c:crosses val="autoZero"/>
        <c:auto val="1"/>
        <c:lblAlgn val="ctr"/>
        <c:lblOffset val="100"/>
        <c:noMultiLvlLbl val="0"/>
      </c:catAx>
      <c:valAx>
        <c:axId val="182970444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</a:t>
                </a:r>
                <a:endParaRPr lang="id-ID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0319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 by Price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CHARTS!$C$3</c:f>
              <c:strCache>
                <c:ptCount val="1"/>
                <c:pt idx="0">
                  <c:v> Price 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4A-45F4-BD65-DEEB49F67DC4}"/>
              </c:ext>
            </c:extLst>
          </c:dPt>
          <c:dPt>
            <c:idx val="2"/>
            <c:invertIfNegative val="0"/>
            <c:bubble3D val="0"/>
            <c:spPr>
              <a:solidFill>
                <a:schemeClr val="tx2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A4A-45F4-BD65-DEEB49F67DC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4A-45F4-BD65-DEEB49F67DC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A4A-45F4-BD65-DEEB49F67DC4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A4A-45F4-BD65-DEEB49F67DC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2A4A-45F4-BD65-DEEB49F67DC4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A4A-45F4-BD65-DEEB49F67DC4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2A4A-45F4-BD65-DEEB49F67DC4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A4A-45F4-BD65-DEEB49F67DC4}"/>
              </c:ext>
            </c:extLst>
          </c:dPt>
          <c:cat>
            <c:strRef>
              <c:f>CHARTS!$D$4:$D$13</c:f>
              <c:strCache>
                <c:ptCount val="10"/>
                <c:pt idx="0">
                  <c:v>Hospital A</c:v>
                </c:pt>
                <c:pt idx="1">
                  <c:v>Hospital C</c:v>
                </c:pt>
                <c:pt idx="2">
                  <c:v>Hospital D</c:v>
                </c:pt>
                <c:pt idx="3">
                  <c:v>Hospital B</c:v>
                </c:pt>
                <c:pt idx="4">
                  <c:v>Laboratorium B</c:v>
                </c:pt>
                <c:pt idx="5">
                  <c:v>Laboratorium C</c:v>
                </c:pt>
                <c:pt idx="6">
                  <c:v>Laboratorium D</c:v>
                </c:pt>
                <c:pt idx="7">
                  <c:v>Laboratorium A</c:v>
                </c:pt>
                <c:pt idx="8">
                  <c:v>Laboratorium F</c:v>
                </c:pt>
                <c:pt idx="9">
                  <c:v>Laboratorium E</c:v>
                </c:pt>
              </c:strCache>
            </c:strRef>
          </c:cat>
          <c:val>
            <c:numRef>
              <c:f>CHARTS!$C$4:$C$13</c:f>
              <c:numCache>
                <c:formatCode>_-[$Rp-421]* #,##0_-;\-[$Rp-421]* #,##0_-;_-[$Rp-421]* "-"??_-;_-@_-</c:formatCode>
                <c:ptCount val="10"/>
                <c:pt idx="0">
                  <c:v>600000</c:v>
                </c:pt>
                <c:pt idx="1">
                  <c:v>600000</c:v>
                </c:pt>
                <c:pt idx="2">
                  <c:v>610000</c:v>
                </c:pt>
                <c:pt idx="3">
                  <c:v>615000</c:v>
                </c:pt>
                <c:pt idx="4">
                  <c:v>800000</c:v>
                </c:pt>
                <c:pt idx="5">
                  <c:v>815000</c:v>
                </c:pt>
                <c:pt idx="6">
                  <c:v>820000</c:v>
                </c:pt>
                <c:pt idx="7">
                  <c:v>825000</c:v>
                </c:pt>
                <c:pt idx="8">
                  <c:v>825000</c:v>
                </c:pt>
                <c:pt idx="9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4A-45F4-BD65-DEEB49F67D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719423"/>
        <c:axId val="1829719839"/>
      </c:barChart>
      <c:catAx>
        <c:axId val="182971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19839"/>
        <c:crosses val="autoZero"/>
        <c:auto val="1"/>
        <c:lblAlgn val="ctr"/>
        <c:lblOffset val="100"/>
        <c:noMultiLvlLbl val="0"/>
      </c:catAx>
      <c:valAx>
        <c:axId val="1829719839"/>
        <c:scaling>
          <c:orientation val="minMax"/>
          <c:max val="2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Rp-421]* #,##0_-;\-[$Rp-421]* #,##0_-;_-[$Rp-421]* &quot;-&quot;_-;_-@_-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1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Comparison by TAT</a:t>
            </a:r>
            <a:endParaRPr lang="id-ID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d-ID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6AD-4F8E-8E52-A78158199FC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6AD-4F8E-8E52-A78158199FC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6AD-4F8E-8E52-A78158199FCB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6AD-4F8E-8E52-A78158199FCB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6AD-4F8E-8E52-A78158199FC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06AD-4F8E-8E52-A78158199FCB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06AD-4F8E-8E52-A78158199FCB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06AD-4F8E-8E52-A78158199FCB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06AD-4F8E-8E52-A78158199FCB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06AD-4F8E-8E52-A78158199FCB}"/>
              </c:ext>
            </c:extLst>
          </c:dPt>
          <c:cat>
            <c:strRef>
              <c:f>CHARTS!$B$33:$B$42</c:f>
              <c:strCache>
                <c:ptCount val="10"/>
                <c:pt idx="0">
                  <c:v>Laboratorium A</c:v>
                </c:pt>
                <c:pt idx="1">
                  <c:v>Laboratorium B</c:v>
                </c:pt>
                <c:pt idx="2">
                  <c:v>Laboratorium C</c:v>
                </c:pt>
                <c:pt idx="3">
                  <c:v>Laboratorium D</c:v>
                </c:pt>
                <c:pt idx="4">
                  <c:v>Laboratorium E</c:v>
                </c:pt>
                <c:pt idx="5">
                  <c:v>Laboratorium F</c:v>
                </c:pt>
                <c:pt idx="6">
                  <c:v>Hospital A</c:v>
                </c:pt>
                <c:pt idx="7">
                  <c:v>Hospital B</c:v>
                </c:pt>
                <c:pt idx="8">
                  <c:v>Hospital C</c:v>
                </c:pt>
                <c:pt idx="9">
                  <c:v>Hospital D</c:v>
                </c:pt>
              </c:strCache>
            </c:strRef>
          </c:cat>
          <c:val>
            <c:numRef>
              <c:f>CHARTS!$A$33:$A$42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3</c:v>
                </c:pt>
                <c:pt idx="7">
                  <c:v>3</c:v>
                </c:pt>
                <c:pt idx="8">
                  <c:v>3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6AD-4F8E-8E52-A78158199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9703199"/>
        <c:axId val="1829704447"/>
      </c:barChart>
      <c:catAx>
        <c:axId val="1829703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04447"/>
        <c:crosses val="autoZero"/>
        <c:auto val="1"/>
        <c:lblAlgn val="ctr"/>
        <c:lblOffset val="100"/>
        <c:noMultiLvlLbl val="0"/>
      </c:catAx>
      <c:valAx>
        <c:axId val="1829704447"/>
        <c:scaling>
          <c:orientation val="minMax"/>
          <c:max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Days</a:t>
                </a:r>
                <a:endParaRPr lang="id-ID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d-ID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d-ID"/>
          </a:p>
        </c:txPr>
        <c:crossAx val="1829703199"/>
        <c:crosses val="autoZero"/>
        <c:crossBetween val="between"/>
        <c:majorUnit val="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d-ID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66674</xdr:colOff>
      <xdr:row>17</xdr:row>
      <xdr:rowOff>0</xdr:rowOff>
    </xdr:from>
    <xdr:to>
      <xdr:col>14</xdr:col>
      <xdr:colOff>600075</xdr:colOff>
      <xdr:row>29</xdr:row>
      <xdr:rowOff>85726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5279DB2-E643-43EE-B23F-253A919D4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0</xdr:rowOff>
    </xdr:from>
    <xdr:to>
      <xdr:col>15</xdr:col>
      <xdr:colOff>0</xdr:colOff>
      <xdr:row>44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5F8135-E72B-4A30-BD80-A9ADE9514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42860</xdr:colOff>
      <xdr:row>2</xdr:row>
      <xdr:rowOff>23812</xdr:rowOff>
    </xdr:from>
    <xdr:to>
      <xdr:col>17</xdr:col>
      <xdr:colOff>342899</xdr:colOff>
      <xdr:row>16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E9E0B02-E402-41A1-949A-A133811089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590550</xdr:colOff>
      <xdr:row>17</xdr:row>
      <xdr:rowOff>42862</xdr:rowOff>
    </xdr:from>
    <xdr:to>
      <xdr:col>12</xdr:col>
      <xdr:colOff>285750</xdr:colOff>
      <xdr:row>31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30FBF8C-4192-4B97-A243-00BCCC24EF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D11" totalsRowShown="0">
  <autoFilter ref="A1:D11" xr:uid="{00000000-0009-0000-0100-000003000000}"/>
  <sortState xmlns:xlrd2="http://schemas.microsoft.com/office/spreadsheetml/2017/richdata2" ref="A2:D11">
    <sortCondition ref="A1:A11"/>
  </sortState>
  <tableColumns count="4">
    <tableColumn id="1" xr3:uid="{00000000-0010-0000-0000-000001000000}" name="lab_id"/>
    <tableColumn id="2" xr3:uid="{00000000-0010-0000-0000-000002000000}" name="lab_name"/>
    <tableColumn id="3" xr3:uid="{00000000-0010-0000-0000-000003000000}" name="pickup"/>
    <tableColumn id="4" xr3:uid="{00000000-0010-0000-0000-000004000000}" name="distance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C79" totalsRowShown="0">
  <autoFilter ref="A1:C79" xr:uid="{00000000-0009-0000-0100-000002000000}"/>
  <tableColumns count="3">
    <tableColumn id="1" xr3:uid="{00000000-0010-0000-0100-000001000000}" name="test_id"/>
    <tableColumn id="2" xr3:uid="{00000000-0010-0000-0100-000002000000}" name="test_name"/>
    <tableColumn id="3" xr3:uid="{00000000-0010-0000-0100-000003000000}" name="test_category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K504" totalsRowShown="0">
  <autoFilter ref="A1:K504" xr:uid="{00000000-0009-0000-0100-000001000000}"/>
  <sortState xmlns:xlrd2="http://schemas.microsoft.com/office/spreadsheetml/2017/richdata2" ref="A2:K504">
    <sortCondition ref="B1:B504"/>
  </sortState>
  <tableColumns count="11">
    <tableColumn id="1" xr3:uid="{00000000-0010-0000-0200-000001000000}" name="lab_id"/>
    <tableColumn id="2" xr3:uid="{00000000-0010-0000-0200-000002000000}" name="test_id"/>
    <tableColumn id="3" xr3:uid="{00000000-0010-0000-0200-000003000000}" name="price"/>
    <tableColumn id="4" xr3:uid="{00000000-0010-0000-0200-000004000000}" name="Monday"/>
    <tableColumn id="5" xr3:uid="{00000000-0010-0000-0200-000005000000}" name="Tuesday"/>
    <tableColumn id="6" xr3:uid="{00000000-0010-0000-0200-000006000000}" name="Wednesday"/>
    <tableColumn id="7" xr3:uid="{00000000-0010-0000-0200-000007000000}" name="Thursday"/>
    <tableColumn id="8" xr3:uid="{00000000-0010-0000-0200-000008000000}" name="Friday"/>
    <tableColumn id="9" xr3:uid="{00000000-0010-0000-0200-000009000000}" name="Saturday"/>
    <tableColumn id="10" xr3:uid="{00000000-0010-0000-0200-00000A000000}" name="Sunday"/>
    <tableColumn id="11" xr3:uid="{00000000-0010-0000-0200-00000B000000}" name="result_ta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996B4-977A-49BC-A520-36CC5B30540E}">
  <dimension ref="B1:O55"/>
  <sheetViews>
    <sheetView showGridLines="0" zoomScaleNormal="100" workbookViewId="0">
      <selection activeCell="G5" sqref="G5:J5"/>
    </sheetView>
  </sheetViews>
  <sheetFormatPr defaultRowHeight="15" x14ac:dyDescent="0.25"/>
  <cols>
    <col min="1" max="1" width="1" customWidth="1"/>
    <col min="2" max="2" width="10.42578125" customWidth="1"/>
    <col min="3" max="3" width="25.85546875" customWidth="1"/>
    <col min="7" max="7" width="10.7109375" customWidth="1"/>
    <col min="8" max="8" width="28.7109375" customWidth="1"/>
    <col min="12" max="12" width="10.7109375" customWidth="1"/>
    <col min="13" max="13" width="24.140625" customWidth="1"/>
  </cols>
  <sheetData>
    <row r="1" spans="2:15" ht="54" customHeight="1" x14ac:dyDescent="0.25">
      <c r="B1" s="140" t="s">
        <v>219</v>
      </c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2"/>
    </row>
    <row r="2" spans="2:15" ht="24" customHeight="1" x14ac:dyDescent="0.25">
      <c r="B2" s="143" t="s">
        <v>220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5"/>
    </row>
    <row r="3" spans="2:15" ht="22.5" customHeight="1" x14ac:dyDescent="0.25">
      <c r="B3" s="146" t="s">
        <v>221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8"/>
    </row>
    <row r="4" spans="2:15" ht="30" customHeight="1" thickBot="1" x14ac:dyDescent="0.3">
      <c r="B4" s="149" t="s">
        <v>222</v>
      </c>
      <c r="C4" s="150"/>
      <c r="D4" s="150"/>
      <c r="E4" s="90"/>
      <c r="F4" s="90"/>
      <c r="G4" s="51" t="s">
        <v>223</v>
      </c>
      <c r="H4" s="52"/>
      <c r="I4" s="52"/>
      <c r="J4" s="52"/>
      <c r="K4" s="90"/>
      <c r="L4" s="90"/>
      <c r="M4" s="150" t="s">
        <v>224</v>
      </c>
      <c r="N4" s="150"/>
      <c r="O4" s="157"/>
    </row>
    <row r="5" spans="2:15" ht="20.25" customHeight="1" thickBot="1" x14ac:dyDescent="0.3">
      <c r="B5" s="151" t="s">
        <v>215</v>
      </c>
      <c r="C5" s="152"/>
      <c r="D5" s="153"/>
      <c r="E5" s="90"/>
      <c r="F5" s="90"/>
      <c r="G5" s="154" t="s">
        <v>58</v>
      </c>
      <c r="H5" s="155"/>
      <c r="I5" s="155"/>
      <c r="J5" s="156"/>
      <c r="K5" s="90"/>
      <c r="L5" s="90"/>
      <c r="M5" s="158" t="s">
        <v>169</v>
      </c>
      <c r="N5" s="159"/>
      <c r="O5" s="160"/>
    </row>
    <row r="6" spans="2:15" x14ac:dyDescent="0.25">
      <c r="B6" s="91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  <c r="O6" s="92"/>
    </row>
    <row r="7" spans="2:15" ht="21" customHeight="1" thickBot="1" x14ac:dyDescent="0.3">
      <c r="B7" s="126" t="s">
        <v>225</v>
      </c>
      <c r="C7" s="127"/>
      <c r="D7" s="127"/>
      <c r="E7" s="127"/>
      <c r="F7" s="127"/>
      <c r="G7" s="127"/>
      <c r="H7" s="127"/>
      <c r="I7" s="127"/>
      <c r="J7" s="127"/>
      <c r="K7" s="127"/>
      <c r="L7" s="127"/>
      <c r="M7" s="127"/>
      <c r="N7" s="127"/>
      <c r="O7" s="128"/>
    </row>
    <row r="8" spans="2:15" ht="21" customHeight="1" x14ac:dyDescent="0.25">
      <c r="B8" s="129" t="s">
        <v>226</v>
      </c>
      <c r="C8" s="130"/>
      <c r="D8" s="130"/>
      <c r="E8" s="130"/>
      <c r="F8" s="90"/>
      <c r="G8" s="131" t="s">
        <v>227</v>
      </c>
      <c r="H8" s="132"/>
      <c r="I8" s="132"/>
      <c r="J8" s="133"/>
      <c r="K8" s="95"/>
      <c r="L8" s="134" t="s">
        <v>228</v>
      </c>
      <c r="M8" s="135"/>
      <c r="N8" s="135"/>
      <c r="O8" s="136"/>
    </row>
    <row r="9" spans="2:15" ht="24.75" customHeight="1" x14ac:dyDescent="0.25">
      <c r="B9" s="55" t="s">
        <v>229</v>
      </c>
      <c r="C9" s="56" t="str">
        <f>HELPER!$B$69</f>
        <v>Hospital A</v>
      </c>
      <c r="D9" s="57"/>
      <c r="E9" s="22"/>
      <c r="F9" s="93"/>
      <c r="G9" s="33" t="s">
        <v>229</v>
      </c>
      <c r="H9" s="58" t="str">
        <f>HELPER!$B$70</f>
        <v>Hospital C</v>
      </c>
      <c r="I9" s="59"/>
      <c r="J9" s="37"/>
      <c r="K9" s="96"/>
      <c r="L9" s="38" t="s">
        <v>229</v>
      </c>
      <c r="M9" s="60" t="str">
        <f>HELPER!$B$71</f>
        <v>Hospital D</v>
      </c>
      <c r="N9" s="61"/>
      <c r="O9" s="62"/>
    </row>
    <row r="10" spans="2:15" s="21" customFormat="1" ht="18.75" x14ac:dyDescent="0.25">
      <c r="B10" s="63" t="s">
        <v>230</v>
      </c>
      <c r="C10" s="64">
        <f>HELPER!C69</f>
        <v>600000</v>
      </c>
      <c r="D10" s="65"/>
      <c r="E10" s="23"/>
      <c r="F10" s="94"/>
      <c r="G10" s="34" t="s">
        <v>230</v>
      </c>
      <c r="H10" s="66">
        <f>HELPER!$C$70</f>
        <v>600000</v>
      </c>
      <c r="I10" s="67"/>
      <c r="J10" s="28"/>
      <c r="K10" s="97"/>
      <c r="L10" s="39" t="s">
        <v>230</v>
      </c>
      <c r="M10" s="68">
        <f>HELPER!$C$71</f>
        <v>610000</v>
      </c>
      <c r="N10" s="69"/>
      <c r="O10" s="70"/>
    </row>
    <row r="11" spans="2:15" ht="18.75" x14ac:dyDescent="0.25">
      <c r="B11" s="71" t="s">
        <v>218</v>
      </c>
      <c r="C11" s="72" t="str">
        <f>HELPER!$E$69</f>
        <v>Mon,Tue,Wed,Thu,Fri,Sat</v>
      </c>
      <c r="D11" s="73"/>
      <c r="E11" s="24"/>
      <c r="F11" s="93"/>
      <c r="G11" s="35" t="s">
        <v>218</v>
      </c>
      <c r="H11" s="74" t="str">
        <f>HELPER!$E$70</f>
        <v>Mon,Tue,Wed,Thu,Fri,Sat</v>
      </c>
      <c r="I11" s="75"/>
      <c r="J11" s="29"/>
      <c r="K11" s="96"/>
      <c r="L11" s="40" t="s">
        <v>218</v>
      </c>
      <c r="M11" s="76" t="str">
        <f>HELPER!$E$71</f>
        <v>Mon,Tue,Wed,Thu,Fri,Sat</v>
      </c>
      <c r="N11" s="77"/>
      <c r="O11" s="78"/>
    </row>
    <row r="12" spans="2:15" ht="18.75" x14ac:dyDescent="0.25">
      <c r="B12" s="71" t="s">
        <v>217</v>
      </c>
      <c r="C12" s="72" t="str">
        <f>HELPER!$D$69&amp;" DAYS"</f>
        <v>3 DAYS</v>
      </c>
      <c r="D12" s="73"/>
      <c r="E12" s="24"/>
      <c r="F12" s="93"/>
      <c r="G12" s="35" t="s">
        <v>217</v>
      </c>
      <c r="H12" s="74" t="str">
        <f>HELPER!$D$70&amp;" DAYS"</f>
        <v>3 DAYS</v>
      </c>
      <c r="I12" s="75"/>
      <c r="J12" s="29"/>
      <c r="K12" s="96"/>
      <c r="L12" s="40" t="s">
        <v>217</v>
      </c>
      <c r="M12" s="76" t="str">
        <f>HELPER!$D$71&amp;" DAYS"</f>
        <v>3 DAYS</v>
      </c>
      <c r="N12" s="77"/>
      <c r="O12" s="78"/>
    </row>
    <row r="13" spans="2:15" ht="18.75" x14ac:dyDescent="0.25">
      <c r="B13" s="71" t="s">
        <v>231</v>
      </c>
      <c r="C13" s="72" t="str">
        <f>HELPER!$F$69</f>
        <v>NO</v>
      </c>
      <c r="D13" s="73"/>
      <c r="E13" s="24"/>
      <c r="F13" s="93"/>
      <c r="G13" s="35" t="s">
        <v>231</v>
      </c>
      <c r="H13" s="74" t="str">
        <f>HELPER!$F$70</f>
        <v>NO</v>
      </c>
      <c r="I13" s="75"/>
      <c r="J13" s="29"/>
      <c r="K13" s="96"/>
      <c r="L13" s="40" t="s">
        <v>231</v>
      </c>
      <c r="M13" s="76" t="str">
        <f>HELPER!$F$71</f>
        <v>NO</v>
      </c>
      <c r="N13" s="77"/>
      <c r="O13" s="78"/>
    </row>
    <row r="14" spans="2:15" ht="18.75" x14ac:dyDescent="0.25">
      <c r="B14" s="79" t="s">
        <v>232</v>
      </c>
      <c r="C14" s="25">
        <f>HELPER!$G$69</f>
        <v>93.25</v>
      </c>
      <c r="D14" s="26"/>
      <c r="E14" s="27"/>
      <c r="F14" s="93"/>
      <c r="G14" s="36" t="s">
        <v>232</v>
      </c>
      <c r="H14" s="30">
        <f>HELPER!$G$70</f>
        <v>88</v>
      </c>
      <c r="I14" s="31"/>
      <c r="J14" s="32"/>
      <c r="K14" s="96"/>
      <c r="L14" s="41" t="s">
        <v>232</v>
      </c>
      <c r="M14" s="42">
        <f>HELPER!$G$71</f>
        <v>80.25</v>
      </c>
      <c r="N14" s="43"/>
      <c r="O14" s="80"/>
    </row>
    <row r="15" spans="2:15" x14ac:dyDescent="0.25">
      <c r="B15" s="91"/>
      <c r="C15" s="90"/>
      <c r="D15" s="90"/>
      <c r="E15" s="90"/>
      <c r="F15" s="90"/>
      <c r="G15" s="90"/>
      <c r="H15" s="90"/>
      <c r="I15" s="90"/>
      <c r="J15" s="90"/>
      <c r="K15" s="90"/>
      <c r="L15" s="90"/>
      <c r="M15" s="90"/>
      <c r="N15" s="90"/>
      <c r="O15" s="92"/>
    </row>
    <row r="16" spans="2:15" ht="21.75" customHeight="1" x14ac:dyDescent="0.25">
      <c r="B16" s="137" t="s">
        <v>233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38"/>
      <c r="M16" s="138"/>
      <c r="N16" s="138"/>
      <c r="O16" s="139"/>
    </row>
    <row r="17" spans="2:15" x14ac:dyDescent="0.25">
      <c r="B17" s="91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2"/>
    </row>
    <row r="18" spans="2:15" x14ac:dyDescent="0.25">
      <c r="B18" s="91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0"/>
      <c r="O18" s="92"/>
    </row>
    <row r="19" spans="2:15" x14ac:dyDescent="0.25">
      <c r="B19" s="91"/>
      <c r="C19" s="90"/>
      <c r="D19" s="90"/>
      <c r="E19" s="90"/>
      <c r="F19" s="90"/>
      <c r="G19" s="90"/>
      <c r="H19" s="90"/>
      <c r="I19" s="90"/>
      <c r="J19" s="90"/>
      <c r="K19" s="90"/>
      <c r="L19" s="90"/>
      <c r="M19" s="90"/>
      <c r="N19" s="90"/>
      <c r="O19" s="92"/>
    </row>
    <row r="20" spans="2:15" x14ac:dyDescent="0.25">
      <c r="B20" s="91"/>
      <c r="C20" s="90"/>
      <c r="D20" s="90"/>
      <c r="E20" s="90"/>
      <c r="F20" s="90"/>
      <c r="G20" s="90"/>
      <c r="H20" s="90"/>
      <c r="I20" s="90"/>
      <c r="J20" s="90"/>
      <c r="K20" s="90"/>
      <c r="L20" s="90"/>
      <c r="M20" s="90"/>
      <c r="N20" s="90"/>
      <c r="O20" s="92"/>
    </row>
    <row r="21" spans="2:15" x14ac:dyDescent="0.25">
      <c r="B21" s="91"/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2"/>
    </row>
    <row r="22" spans="2:15" x14ac:dyDescent="0.25">
      <c r="B22" s="91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2"/>
    </row>
    <row r="23" spans="2:15" x14ac:dyDescent="0.25">
      <c r="B23" s="91"/>
      <c r="C23" s="90"/>
      <c r="D23" s="90"/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2"/>
    </row>
    <row r="24" spans="2:15" x14ac:dyDescent="0.25">
      <c r="B24" s="91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2"/>
    </row>
    <row r="25" spans="2:15" x14ac:dyDescent="0.25">
      <c r="B25" s="91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2"/>
    </row>
    <row r="26" spans="2:15" x14ac:dyDescent="0.25">
      <c r="B26" s="91"/>
      <c r="C26" s="90"/>
      <c r="D26" s="90"/>
      <c r="E26" s="90"/>
      <c r="F26" s="90"/>
      <c r="G26" s="90"/>
      <c r="H26" s="90"/>
      <c r="I26" s="90"/>
      <c r="J26" s="90"/>
      <c r="K26" s="90"/>
      <c r="L26" s="90"/>
      <c r="M26" s="90"/>
      <c r="N26" s="90"/>
      <c r="O26" s="92"/>
    </row>
    <row r="27" spans="2:15" x14ac:dyDescent="0.25">
      <c r="B27" s="91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0"/>
      <c r="N27" s="90"/>
      <c r="O27" s="92"/>
    </row>
    <row r="28" spans="2:15" x14ac:dyDescent="0.25">
      <c r="B28" s="91"/>
      <c r="C28" s="90"/>
      <c r="D28" s="90"/>
      <c r="E28" s="90"/>
      <c r="F28" s="90"/>
      <c r="G28" s="90"/>
      <c r="H28" s="90"/>
      <c r="I28" s="90"/>
      <c r="J28" s="90"/>
      <c r="K28" s="90"/>
      <c r="L28" s="90"/>
      <c r="M28" s="90"/>
      <c r="N28" s="90"/>
      <c r="O28" s="92"/>
    </row>
    <row r="29" spans="2:15" x14ac:dyDescent="0.25">
      <c r="B29" s="91"/>
      <c r="C29" s="90"/>
      <c r="D29" s="90"/>
      <c r="E29" s="90"/>
      <c r="F29" s="90"/>
      <c r="G29" s="90"/>
      <c r="H29" s="90"/>
      <c r="I29" s="90"/>
      <c r="J29" s="90"/>
      <c r="K29" s="90"/>
      <c r="L29" s="90"/>
      <c r="M29" s="90"/>
      <c r="N29" s="90"/>
      <c r="O29" s="92"/>
    </row>
    <row r="30" spans="2:15" x14ac:dyDescent="0.25">
      <c r="B30" s="91"/>
      <c r="C30" s="90"/>
      <c r="D30" s="90"/>
      <c r="E30" s="90"/>
      <c r="F30" s="90"/>
      <c r="G30" s="90"/>
      <c r="H30" s="90"/>
      <c r="I30" s="90"/>
      <c r="J30" s="90"/>
      <c r="K30" s="90"/>
      <c r="L30" s="90"/>
      <c r="M30" s="90"/>
      <c r="N30" s="90"/>
      <c r="O30" s="92"/>
    </row>
    <row r="31" spans="2:15" x14ac:dyDescent="0.25">
      <c r="B31" s="91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2"/>
    </row>
    <row r="32" spans="2:15" x14ac:dyDescent="0.25">
      <c r="B32" s="91"/>
      <c r="C32" s="90"/>
      <c r="D32" s="90"/>
      <c r="E32" s="90"/>
      <c r="F32" s="90"/>
      <c r="G32" s="90"/>
      <c r="H32" s="90"/>
      <c r="I32" s="90"/>
      <c r="J32" s="90"/>
      <c r="K32" s="90"/>
      <c r="L32" s="90"/>
      <c r="M32" s="90"/>
      <c r="N32" s="90"/>
      <c r="O32" s="92"/>
    </row>
    <row r="33" spans="2:15" x14ac:dyDescent="0.25">
      <c r="B33" s="91"/>
      <c r="C33" s="90"/>
      <c r="D33" s="90"/>
      <c r="E33" s="90"/>
      <c r="F33" s="90"/>
      <c r="G33" s="90"/>
      <c r="H33" s="90"/>
      <c r="I33" s="90"/>
      <c r="J33" s="90"/>
      <c r="K33" s="90"/>
      <c r="L33" s="90"/>
      <c r="M33" s="90"/>
      <c r="N33" s="90"/>
      <c r="O33" s="92"/>
    </row>
    <row r="34" spans="2:15" x14ac:dyDescent="0.25">
      <c r="B34" s="91"/>
      <c r="C34" s="90"/>
      <c r="D34" s="90"/>
      <c r="E34" s="90"/>
      <c r="F34" s="90"/>
      <c r="G34" s="90"/>
      <c r="H34" s="90"/>
      <c r="I34" s="90"/>
      <c r="J34" s="90"/>
      <c r="K34" s="90"/>
      <c r="L34" s="90"/>
      <c r="M34" s="90"/>
      <c r="N34" s="90"/>
      <c r="O34" s="92"/>
    </row>
    <row r="35" spans="2:15" x14ac:dyDescent="0.25">
      <c r="B35" s="91"/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2"/>
    </row>
    <row r="36" spans="2:15" x14ac:dyDescent="0.25">
      <c r="B36" s="91"/>
      <c r="C36" s="90"/>
      <c r="D36" s="90"/>
      <c r="E36" s="90"/>
      <c r="F36" s="90"/>
      <c r="G36" s="90"/>
      <c r="H36" s="90"/>
      <c r="I36" s="90"/>
      <c r="J36" s="90"/>
      <c r="K36" s="90"/>
      <c r="L36" s="90"/>
      <c r="M36" s="90"/>
      <c r="N36" s="90"/>
      <c r="O36" s="92"/>
    </row>
    <row r="37" spans="2:15" x14ac:dyDescent="0.25">
      <c r="B37" s="91"/>
      <c r="C37" s="90"/>
      <c r="D37" s="90"/>
      <c r="E37" s="90"/>
      <c r="F37" s="90"/>
      <c r="G37" s="90"/>
      <c r="H37" s="90"/>
      <c r="I37" s="90"/>
      <c r="J37" s="90"/>
      <c r="K37" s="90"/>
      <c r="L37" s="90"/>
      <c r="M37" s="90"/>
      <c r="N37" s="90"/>
      <c r="O37" s="92"/>
    </row>
    <row r="38" spans="2:15" x14ac:dyDescent="0.25">
      <c r="B38" s="91"/>
      <c r="C38" s="90"/>
      <c r="D38" s="90"/>
      <c r="E38" s="90"/>
      <c r="F38" s="90"/>
      <c r="G38" s="90"/>
      <c r="H38" s="90"/>
      <c r="I38" s="90"/>
      <c r="J38" s="90"/>
      <c r="K38" s="90"/>
      <c r="L38" s="90"/>
      <c r="M38" s="90"/>
      <c r="N38" s="90"/>
      <c r="O38" s="92"/>
    </row>
    <row r="39" spans="2:15" x14ac:dyDescent="0.25">
      <c r="B39" s="91"/>
      <c r="C39" s="90"/>
      <c r="D39" s="90"/>
      <c r="E39" s="90"/>
      <c r="F39" s="90"/>
      <c r="G39" s="90"/>
      <c r="H39" s="90"/>
      <c r="I39" s="90"/>
      <c r="J39" s="90"/>
      <c r="K39" s="90"/>
      <c r="L39" s="90"/>
      <c r="M39" s="90"/>
      <c r="N39" s="90"/>
      <c r="O39" s="92"/>
    </row>
    <row r="40" spans="2:15" x14ac:dyDescent="0.25">
      <c r="B40" s="91"/>
      <c r="C40" s="90"/>
      <c r="D40" s="90"/>
      <c r="E40" s="90"/>
      <c r="F40" s="90"/>
      <c r="G40" s="90"/>
      <c r="H40" s="90"/>
      <c r="I40" s="90"/>
      <c r="J40" s="90"/>
      <c r="K40" s="90"/>
      <c r="L40" s="90"/>
      <c r="M40" s="90"/>
      <c r="N40" s="90"/>
      <c r="O40" s="92"/>
    </row>
    <row r="41" spans="2:15" x14ac:dyDescent="0.25">
      <c r="B41" s="91"/>
      <c r="C41" s="90"/>
      <c r="D41" s="90"/>
      <c r="E41" s="90"/>
      <c r="F41" s="90"/>
      <c r="G41" s="90"/>
      <c r="H41" s="90"/>
      <c r="I41" s="90"/>
      <c r="J41" s="90"/>
      <c r="K41" s="90"/>
      <c r="L41" s="90"/>
      <c r="M41" s="90"/>
      <c r="N41" s="90"/>
      <c r="O41" s="92"/>
    </row>
    <row r="42" spans="2:15" x14ac:dyDescent="0.25">
      <c r="B42" s="91"/>
      <c r="C42" s="90"/>
      <c r="D42" s="90"/>
      <c r="E42" s="90"/>
      <c r="F42" s="90"/>
      <c r="G42" s="90"/>
      <c r="H42" s="90"/>
      <c r="I42" s="90"/>
      <c r="J42" s="90"/>
      <c r="K42" s="90"/>
      <c r="L42" s="90"/>
      <c r="M42" s="90"/>
      <c r="N42" s="90"/>
      <c r="O42" s="92"/>
    </row>
    <row r="43" spans="2:15" x14ac:dyDescent="0.25">
      <c r="B43" s="91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2"/>
    </row>
    <row r="44" spans="2:15" x14ac:dyDescent="0.25">
      <c r="B44" s="91"/>
      <c r="C44" s="90"/>
      <c r="D44" s="90"/>
      <c r="E44" s="90"/>
      <c r="F44" s="90"/>
      <c r="G44" s="90"/>
      <c r="H44" s="90"/>
      <c r="I44" s="90"/>
      <c r="J44" s="90"/>
      <c r="K44" s="90"/>
      <c r="L44" s="90"/>
      <c r="M44" s="90"/>
      <c r="N44" s="90"/>
      <c r="O44" s="92"/>
    </row>
    <row r="45" spans="2:15" x14ac:dyDescent="0.25">
      <c r="B45" s="91"/>
      <c r="C45" s="90"/>
      <c r="D45" s="90"/>
      <c r="E45" s="90"/>
      <c r="F45" s="90"/>
      <c r="G45" s="90"/>
      <c r="H45" s="90"/>
      <c r="I45" s="90"/>
      <c r="J45" s="90"/>
      <c r="K45" s="90"/>
      <c r="L45" s="90"/>
      <c r="M45" s="90"/>
      <c r="N45" s="90"/>
      <c r="O45" s="92"/>
    </row>
    <row r="46" spans="2:15" ht="32.25" customHeight="1" x14ac:dyDescent="0.25">
      <c r="B46" s="123" t="s">
        <v>237</v>
      </c>
      <c r="C46" s="124"/>
      <c r="D46" s="124"/>
      <c r="E46" s="124"/>
      <c r="F46" s="124"/>
      <c r="G46" s="124"/>
      <c r="H46" s="124"/>
      <c r="I46" s="124"/>
      <c r="J46" s="124"/>
      <c r="K46" s="124"/>
      <c r="L46" s="124"/>
      <c r="M46" s="124"/>
      <c r="N46" s="124"/>
      <c r="O46" s="125"/>
    </row>
    <row r="47" spans="2:15" ht="5.25" customHeight="1" thickBot="1" x14ac:dyDescent="0.3">
      <c r="B47" s="53"/>
      <c r="C47" s="4"/>
      <c r="D47" s="4"/>
      <c r="E47" s="4"/>
      <c r="F47" s="4"/>
      <c r="G47" s="4"/>
      <c r="H47" s="15"/>
      <c r="I47" s="4"/>
      <c r="J47" s="4"/>
      <c r="K47" s="4"/>
      <c r="L47" s="4"/>
      <c r="M47" s="4"/>
      <c r="N47" s="4"/>
      <c r="O47" s="54"/>
    </row>
    <row r="48" spans="2:15" s="49" customFormat="1" ht="41.25" customHeight="1" thickBot="1" x14ac:dyDescent="0.3">
      <c r="B48" s="81" t="s">
        <v>238</v>
      </c>
      <c r="C48" s="122" t="s">
        <v>240</v>
      </c>
      <c r="D48" s="122"/>
      <c r="E48" s="122" t="s">
        <v>241</v>
      </c>
      <c r="F48" s="122"/>
      <c r="G48" s="122" t="s">
        <v>218</v>
      </c>
      <c r="H48" s="122"/>
      <c r="I48" s="122"/>
      <c r="J48" s="50" t="s">
        <v>217</v>
      </c>
      <c r="K48" s="122" t="s">
        <v>242</v>
      </c>
      <c r="L48" s="122"/>
      <c r="M48" s="102" t="s">
        <v>239</v>
      </c>
      <c r="N48" s="103"/>
      <c r="O48" s="104"/>
    </row>
    <row r="49" spans="2:15" ht="23.25" customHeight="1" x14ac:dyDescent="0.25">
      <c r="B49" s="82">
        <v>4</v>
      </c>
      <c r="C49" s="119" t="str">
        <f>HELPER!$B$72</f>
        <v>Laboratorium B</v>
      </c>
      <c r="D49" s="119"/>
      <c r="E49" s="120">
        <f>HELPER!$C$72</f>
        <v>800000</v>
      </c>
      <c r="F49" s="120"/>
      <c r="G49" s="121" t="str">
        <f>HELPER!$E$72</f>
        <v>Mon,Tue,Wed,Thu,Fri</v>
      </c>
      <c r="H49" s="121"/>
      <c r="I49" s="121"/>
      <c r="J49" s="83">
        <f>HELPER!$D72</f>
        <v>2</v>
      </c>
      <c r="K49" s="121" t="str">
        <f>HELPER!$F72</f>
        <v>YES</v>
      </c>
      <c r="L49" s="121"/>
      <c r="M49" s="105">
        <f>HELPER!$G72</f>
        <v>74</v>
      </c>
      <c r="N49" s="105"/>
      <c r="O49" s="106"/>
    </row>
    <row r="50" spans="2:15" ht="24" customHeight="1" x14ac:dyDescent="0.25">
      <c r="B50" s="84">
        <v>5</v>
      </c>
      <c r="C50" s="115" t="str">
        <f>HELPER!$B$73</f>
        <v>Hospital B</v>
      </c>
      <c r="D50" s="115"/>
      <c r="E50" s="116">
        <f>HELPER!$C$73</f>
        <v>615000</v>
      </c>
      <c r="F50" s="116"/>
      <c r="G50" s="117" t="str">
        <f>HELPER!$E$73</f>
        <v>Mon,Tue,Wed,Thu,Fri,Sat</v>
      </c>
      <c r="H50" s="117"/>
      <c r="I50" s="117"/>
      <c r="J50" s="85">
        <f>HELPER!$D73</f>
        <v>3</v>
      </c>
      <c r="K50" s="118" t="str">
        <f>HELPER!$F73</f>
        <v>NO</v>
      </c>
      <c r="L50" s="118"/>
      <c r="M50" s="98">
        <f>HELPER!$G73</f>
        <v>73.75</v>
      </c>
      <c r="N50" s="98"/>
      <c r="O50" s="99"/>
    </row>
    <row r="51" spans="2:15" ht="25.5" customHeight="1" x14ac:dyDescent="0.25">
      <c r="B51" s="86">
        <v>6</v>
      </c>
      <c r="C51" s="112" t="str">
        <f>HELPER!$B$74</f>
        <v>Laboratorium C</v>
      </c>
      <c r="D51" s="112"/>
      <c r="E51" s="113">
        <f>HELPER!$C$74</f>
        <v>815000</v>
      </c>
      <c r="F51" s="113"/>
      <c r="G51" s="114" t="str">
        <f>HELPER!$E$74</f>
        <v>Mon,Tue,Wed,Thu,Fri</v>
      </c>
      <c r="H51" s="114"/>
      <c r="I51" s="114"/>
      <c r="J51" s="87">
        <f>HELPER!$D74</f>
        <v>2</v>
      </c>
      <c r="K51" s="114" t="str">
        <f>HELPER!$F74</f>
        <v>NO</v>
      </c>
      <c r="L51" s="114"/>
      <c r="M51" s="107">
        <f>HELPER!$G74</f>
        <v>63</v>
      </c>
      <c r="N51" s="107"/>
      <c r="O51" s="108"/>
    </row>
    <row r="52" spans="2:15" ht="28.5" customHeight="1" x14ac:dyDescent="0.25">
      <c r="B52" s="84">
        <v>7</v>
      </c>
      <c r="C52" s="115" t="str">
        <f>HELPER!$B$75</f>
        <v>Laboratorium D</v>
      </c>
      <c r="D52" s="115"/>
      <c r="E52" s="116">
        <f>HELPER!$C$75</f>
        <v>820000</v>
      </c>
      <c r="F52" s="116"/>
      <c r="G52" s="117" t="str">
        <f>HELPER!$E$75</f>
        <v>Mon,Tue,Wed,Thu,Fri</v>
      </c>
      <c r="H52" s="117"/>
      <c r="I52" s="117"/>
      <c r="J52" s="85">
        <f>HELPER!$D75</f>
        <v>2</v>
      </c>
      <c r="K52" s="118" t="str">
        <f>HELPER!$F75</f>
        <v>YES</v>
      </c>
      <c r="L52" s="118"/>
      <c r="M52" s="98">
        <f>HELPER!$G75</f>
        <v>59.75</v>
      </c>
      <c r="N52" s="98"/>
      <c r="O52" s="99"/>
    </row>
    <row r="53" spans="2:15" ht="21" customHeight="1" x14ac:dyDescent="0.25">
      <c r="B53" s="86">
        <v>8</v>
      </c>
      <c r="C53" s="112" t="str">
        <f>HELPER!$B$76</f>
        <v>Laboratorium A</v>
      </c>
      <c r="D53" s="112"/>
      <c r="E53" s="113">
        <f>HELPER!$C$76</f>
        <v>825000</v>
      </c>
      <c r="F53" s="113"/>
      <c r="G53" s="114" t="str">
        <f>HELPER!$E$76</f>
        <v>Mon,Tue,Wed,Thu,Fri</v>
      </c>
      <c r="H53" s="114"/>
      <c r="I53" s="114"/>
      <c r="J53" s="87">
        <f>HELPER!$D76</f>
        <v>2</v>
      </c>
      <c r="K53" s="114" t="str">
        <f>HELPER!$F76</f>
        <v>YES</v>
      </c>
      <c r="L53" s="114"/>
      <c r="M53" s="107">
        <f>HELPER!$G76</f>
        <v>53.25</v>
      </c>
      <c r="N53" s="107"/>
      <c r="O53" s="108"/>
    </row>
    <row r="54" spans="2:15" ht="26.25" customHeight="1" x14ac:dyDescent="0.25">
      <c r="B54" s="84">
        <v>9</v>
      </c>
      <c r="C54" s="115" t="str">
        <f>HELPER!$B$77</f>
        <v>Laboratorium F</v>
      </c>
      <c r="D54" s="115"/>
      <c r="E54" s="116">
        <f>HELPER!$C$77</f>
        <v>825000</v>
      </c>
      <c r="F54" s="116"/>
      <c r="G54" s="117" t="str">
        <f>HELPER!$E$77</f>
        <v>Mon,Tue,Wed,Thu,Fri</v>
      </c>
      <c r="H54" s="117"/>
      <c r="I54" s="117"/>
      <c r="J54" s="85">
        <f>HELPER!$D77</f>
        <v>2</v>
      </c>
      <c r="K54" s="118" t="str">
        <f>HELPER!$F77</f>
        <v>NO</v>
      </c>
      <c r="L54" s="118"/>
      <c r="M54" s="98">
        <f>HELPER!$G77</f>
        <v>45.5</v>
      </c>
      <c r="N54" s="98"/>
      <c r="O54" s="99"/>
    </row>
    <row r="55" spans="2:15" ht="26.25" customHeight="1" thickBot="1" x14ac:dyDescent="0.3">
      <c r="B55" s="88">
        <v>10</v>
      </c>
      <c r="C55" s="109" t="str">
        <f>HELPER!$B$78</f>
        <v>Laboratorium E</v>
      </c>
      <c r="D55" s="109"/>
      <c r="E55" s="110">
        <f>HELPER!$C$78</f>
        <v>850000</v>
      </c>
      <c r="F55" s="110"/>
      <c r="G55" s="111" t="str">
        <f>HELPER!$E$78</f>
        <v>Mon,Tue,Wed,Thu,Fri</v>
      </c>
      <c r="H55" s="111"/>
      <c r="I55" s="111"/>
      <c r="J55" s="89">
        <f>HELPER!$D78</f>
        <v>2</v>
      </c>
      <c r="K55" s="111" t="str">
        <f>HELPER!$F78</f>
        <v>YES</v>
      </c>
      <c r="L55" s="111"/>
      <c r="M55" s="100">
        <f>HELPER!$G78</f>
        <v>40.25</v>
      </c>
      <c r="N55" s="100"/>
      <c r="O55" s="101"/>
    </row>
  </sheetData>
  <sheetProtection algorithmName="SHA-512" hashValue="VgcPqZqwCN82deRbO1JnZ3GzkPzPGuOOh+RNWeQuf/bQNS/Im+1cL8yA15NwwT0ENkaCGQD3MqGtmlcU8WuBMw==" saltValue="51/f/5tr3lZi1iAk+QeV5w==" spinCount="100000" sheet="1" objects="1" scenarios="1" selectLockedCells="1"/>
  <mergeCells count="54">
    <mergeCell ref="B1:O1"/>
    <mergeCell ref="B2:O2"/>
    <mergeCell ref="B3:O3"/>
    <mergeCell ref="B4:D4"/>
    <mergeCell ref="B5:D5"/>
    <mergeCell ref="G5:J5"/>
    <mergeCell ref="M4:O4"/>
    <mergeCell ref="M5:O5"/>
    <mergeCell ref="B7:O7"/>
    <mergeCell ref="B8:E8"/>
    <mergeCell ref="G8:J8"/>
    <mergeCell ref="L8:O8"/>
    <mergeCell ref="B16:O16"/>
    <mergeCell ref="C48:D48"/>
    <mergeCell ref="E48:F48"/>
    <mergeCell ref="G48:I48"/>
    <mergeCell ref="K48:L48"/>
    <mergeCell ref="B46:O46"/>
    <mergeCell ref="C49:D49"/>
    <mergeCell ref="E49:F49"/>
    <mergeCell ref="G49:I49"/>
    <mergeCell ref="K49:L49"/>
    <mergeCell ref="C50:D50"/>
    <mergeCell ref="E50:F50"/>
    <mergeCell ref="G50:I50"/>
    <mergeCell ref="K50:L50"/>
    <mergeCell ref="C51:D51"/>
    <mergeCell ref="E51:F51"/>
    <mergeCell ref="G51:I51"/>
    <mergeCell ref="K51:L51"/>
    <mergeCell ref="C52:D52"/>
    <mergeCell ref="E52:F52"/>
    <mergeCell ref="G52:I52"/>
    <mergeCell ref="K52:L52"/>
    <mergeCell ref="C55:D55"/>
    <mergeCell ref="E55:F55"/>
    <mergeCell ref="G55:I55"/>
    <mergeCell ref="K55:L55"/>
    <mergeCell ref="C53:D53"/>
    <mergeCell ref="E53:F53"/>
    <mergeCell ref="G53:I53"/>
    <mergeCell ref="K53:L53"/>
    <mergeCell ref="C54:D54"/>
    <mergeCell ref="E54:F54"/>
    <mergeCell ref="G54:I54"/>
    <mergeCell ref="K54:L54"/>
    <mergeCell ref="M54:O54"/>
    <mergeCell ref="M55:O55"/>
    <mergeCell ref="M48:O48"/>
    <mergeCell ref="M49:O49"/>
    <mergeCell ref="M50:O50"/>
    <mergeCell ref="M51:O51"/>
    <mergeCell ref="M52:O52"/>
    <mergeCell ref="M53:O53"/>
  </mergeCells>
  <phoneticPr fontId="3" type="noConversion"/>
  <dataValidations count="1">
    <dataValidation type="list" sqref="B5" xr:uid="{1592E0FF-826B-4A42-99DE-F1912C6848B1}">
      <formula1>"Routine,Cito"</formula1>
      <formula2>0</formula2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57BBDA6-1E3A-4CFD-8752-DCBFA5FE71BC}">
          <x14:formula1>
            <xm:f>TEST!$B$2:$B$79</xm:f>
          </x14:formula1>
          <xm:sqref>G5:J5</xm:sqref>
        </x14:dataValidation>
        <x14:dataValidation type="list" xr:uid="{44A6D05E-6060-4B64-A7FB-D0A5A5AA7D59}">
          <x14:formula1>
            <xm:f>SNP!$D$1:$J$1</xm:f>
          </x14:formula1>
          <xm:sqref>M5:O5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10" sqref="C10"/>
    </sheetView>
  </sheetViews>
  <sheetFormatPr defaultRowHeight="15" x14ac:dyDescent="0.25"/>
  <cols>
    <col min="2" max="2" width="14.7109375" bestFit="1" customWidth="1"/>
    <col min="4" max="4" width="10.5703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176</v>
      </c>
    </row>
    <row r="2" spans="1:4" x14ac:dyDescent="0.25">
      <c r="A2" t="s">
        <v>183</v>
      </c>
      <c r="B2" t="s">
        <v>187</v>
      </c>
      <c r="C2">
        <v>0</v>
      </c>
      <c r="D2">
        <v>10</v>
      </c>
    </row>
    <row r="3" spans="1:4" x14ac:dyDescent="0.25">
      <c r="A3" t="s">
        <v>184</v>
      </c>
      <c r="B3" t="s">
        <v>188</v>
      </c>
      <c r="C3">
        <v>0</v>
      </c>
      <c r="D3">
        <v>10.5</v>
      </c>
    </row>
    <row r="4" spans="1:4" x14ac:dyDescent="0.25">
      <c r="A4" t="s">
        <v>185</v>
      </c>
      <c r="B4" t="s">
        <v>189</v>
      </c>
      <c r="C4">
        <v>0</v>
      </c>
      <c r="D4">
        <v>8.3000000000000007</v>
      </c>
    </row>
    <row r="5" spans="1:4" x14ac:dyDescent="0.25">
      <c r="A5" t="s">
        <v>186</v>
      </c>
      <c r="B5" t="s">
        <v>190</v>
      </c>
      <c r="C5">
        <v>0</v>
      </c>
      <c r="D5">
        <v>9.5</v>
      </c>
    </row>
    <row r="6" spans="1:4" x14ac:dyDescent="0.25">
      <c r="A6" t="s">
        <v>177</v>
      </c>
      <c r="B6" t="s">
        <v>3</v>
      </c>
      <c r="C6">
        <v>1</v>
      </c>
      <c r="D6">
        <v>12.3</v>
      </c>
    </row>
    <row r="7" spans="1:4" x14ac:dyDescent="0.25">
      <c r="A7" t="s">
        <v>178</v>
      </c>
      <c r="B7" t="s">
        <v>4</v>
      </c>
      <c r="C7">
        <v>1</v>
      </c>
      <c r="D7">
        <v>7.8</v>
      </c>
    </row>
    <row r="8" spans="1:4" x14ac:dyDescent="0.25">
      <c r="A8" t="s">
        <v>179</v>
      </c>
      <c r="B8" t="s">
        <v>5</v>
      </c>
      <c r="C8">
        <v>0</v>
      </c>
      <c r="D8">
        <v>8.1999999999999993</v>
      </c>
    </row>
    <row r="9" spans="1:4" x14ac:dyDescent="0.25">
      <c r="A9" t="s">
        <v>180</v>
      </c>
      <c r="B9" t="s">
        <v>6</v>
      </c>
      <c r="C9">
        <v>1</v>
      </c>
      <c r="D9">
        <v>11.1</v>
      </c>
    </row>
    <row r="10" spans="1:4" x14ac:dyDescent="0.25">
      <c r="A10" t="s">
        <v>181</v>
      </c>
      <c r="B10" t="s">
        <v>7</v>
      </c>
      <c r="C10">
        <v>1</v>
      </c>
      <c r="D10">
        <v>12</v>
      </c>
    </row>
    <row r="11" spans="1:4" x14ac:dyDescent="0.25">
      <c r="A11" t="s">
        <v>182</v>
      </c>
      <c r="B11" t="s">
        <v>8</v>
      </c>
      <c r="C11">
        <v>0</v>
      </c>
      <c r="D11">
        <v>8</v>
      </c>
    </row>
  </sheetData>
  <sheetProtection algorithmName="SHA-512" hashValue="NCXXTg7ymJUQvqphkRbxebNxebLE+OfRaJVK8TCNRV0q51KftBGHU27mQ1fMNMyCgR0dM0cEcGxlxfhQPCQmVQ==" saltValue="mMMdH2ud0oo1WKwNQge7Qg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9"/>
  <sheetViews>
    <sheetView workbookViewId="0">
      <selection activeCell="B79" sqref="B79"/>
    </sheetView>
  </sheetViews>
  <sheetFormatPr defaultRowHeight="15" x14ac:dyDescent="0.25"/>
  <cols>
    <col min="1" max="1" width="9.28515625" customWidth="1"/>
    <col min="2" max="2" width="30.28515625" bestFit="1" customWidth="1"/>
    <col min="3" max="3" width="25.5703125" bestFit="1" customWidth="1"/>
    <col min="4" max="4" width="11.42578125" bestFit="1" customWidth="1"/>
  </cols>
  <sheetData>
    <row r="1" spans="1:3" x14ac:dyDescent="0.25">
      <c r="A1" t="s">
        <v>9</v>
      </c>
      <c r="B1" t="s">
        <v>10</v>
      </c>
      <c r="C1" t="s">
        <v>11</v>
      </c>
    </row>
    <row r="2" spans="1:3" x14ac:dyDescent="0.25">
      <c r="A2" t="s">
        <v>12</v>
      </c>
      <c r="B2" t="s">
        <v>174</v>
      </c>
      <c r="C2" t="s">
        <v>192</v>
      </c>
    </row>
    <row r="3" spans="1:3" x14ac:dyDescent="0.25">
      <c r="A3" t="s">
        <v>13</v>
      </c>
      <c r="B3" t="s">
        <v>42</v>
      </c>
      <c r="C3" t="s">
        <v>192</v>
      </c>
    </row>
    <row r="4" spans="1:3" x14ac:dyDescent="0.25">
      <c r="A4" t="s">
        <v>14</v>
      </c>
      <c r="B4" t="s">
        <v>43</v>
      </c>
      <c r="C4" t="s">
        <v>192</v>
      </c>
    </row>
    <row r="5" spans="1:3" x14ac:dyDescent="0.25">
      <c r="A5" t="s">
        <v>15</v>
      </c>
      <c r="B5" t="s">
        <v>44</v>
      </c>
      <c r="C5" t="s">
        <v>191</v>
      </c>
    </row>
    <row r="6" spans="1:3" x14ac:dyDescent="0.25">
      <c r="A6" t="s">
        <v>16</v>
      </c>
      <c r="B6" t="s">
        <v>45</v>
      </c>
      <c r="C6" t="s">
        <v>191</v>
      </c>
    </row>
    <row r="7" spans="1:3" x14ac:dyDescent="0.25">
      <c r="A7" t="s">
        <v>17</v>
      </c>
      <c r="B7" t="s">
        <v>46</v>
      </c>
      <c r="C7" t="s">
        <v>191</v>
      </c>
    </row>
    <row r="8" spans="1:3" x14ac:dyDescent="0.25">
      <c r="A8" t="s">
        <v>18</v>
      </c>
      <c r="B8" t="s">
        <v>47</v>
      </c>
      <c r="C8" t="s">
        <v>191</v>
      </c>
    </row>
    <row r="9" spans="1:3" x14ac:dyDescent="0.25">
      <c r="A9" t="s">
        <v>19</v>
      </c>
      <c r="B9" t="s">
        <v>48</v>
      </c>
      <c r="C9" t="s">
        <v>191</v>
      </c>
    </row>
    <row r="10" spans="1:3" x14ac:dyDescent="0.25">
      <c r="A10" t="s">
        <v>20</v>
      </c>
      <c r="B10" t="s">
        <v>49</v>
      </c>
      <c r="C10" t="s">
        <v>191</v>
      </c>
    </row>
    <row r="11" spans="1:3" x14ac:dyDescent="0.25">
      <c r="A11" t="s">
        <v>21</v>
      </c>
      <c r="B11" t="s">
        <v>50</v>
      </c>
      <c r="C11" t="s">
        <v>194</v>
      </c>
    </row>
    <row r="12" spans="1:3" x14ac:dyDescent="0.25">
      <c r="A12" t="s">
        <v>22</v>
      </c>
      <c r="B12" t="s">
        <v>51</v>
      </c>
      <c r="C12" t="s">
        <v>191</v>
      </c>
    </row>
    <row r="13" spans="1:3" x14ac:dyDescent="0.25">
      <c r="A13" t="s">
        <v>23</v>
      </c>
      <c r="B13" t="s">
        <v>52</v>
      </c>
      <c r="C13" t="s">
        <v>191</v>
      </c>
    </row>
    <row r="14" spans="1:3" x14ac:dyDescent="0.25">
      <c r="A14" t="s">
        <v>24</v>
      </c>
      <c r="B14" t="s">
        <v>173</v>
      </c>
      <c r="C14" t="s">
        <v>193</v>
      </c>
    </row>
    <row r="15" spans="1:3" x14ac:dyDescent="0.25">
      <c r="A15" t="s">
        <v>25</v>
      </c>
      <c r="B15" t="s">
        <v>53</v>
      </c>
      <c r="C15" t="s">
        <v>193</v>
      </c>
    </row>
    <row r="16" spans="1:3" x14ac:dyDescent="0.25">
      <c r="A16" t="s">
        <v>26</v>
      </c>
      <c r="B16" t="s">
        <v>54</v>
      </c>
      <c r="C16" t="s">
        <v>194</v>
      </c>
    </row>
    <row r="17" spans="1:3" x14ac:dyDescent="0.25">
      <c r="A17" t="s">
        <v>27</v>
      </c>
      <c r="B17" t="s">
        <v>55</v>
      </c>
      <c r="C17" t="s">
        <v>191</v>
      </c>
    </row>
    <row r="18" spans="1:3" x14ac:dyDescent="0.25">
      <c r="A18" t="s">
        <v>28</v>
      </c>
      <c r="B18" t="s">
        <v>56</v>
      </c>
      <c r="C18" t="s">
        <v>191</v>
      </c>
    </row>
    <row r="19" spans="1:3" x14ac:dyDescent="0.25">
      <c r="A19" t="s">
        <v>29</v>
      </c>
      <c r="B19" t="s">
        <v>57</v>
      </c>
      <c r="C19" t="s">
        <v>191</v>
      </c>
    </row>
    <row r="20" spans="1:3" x14ac:dyDescent="0.25">
      <c r="A20" t="s">
        <v>30</v>
      </c>
      <c r="B20" t="s">
        <v>58</v>
      </c>
      <c r="C20" t="s">
        <v>191</v>
      </c>
    </row>
    <row r="21" spans="1:3" x14ac:dyDescent="0.25">
      <c r="A21" t="s">
        <v>31</v>
      </c>
      <c r="B21" t="s">
        <v>59</v>
      </c>
      <c r="C21" t="s">
        <v>191</v>
      </c>
    </row>
    <row r="22" spans="1:3" x14ac:dyDescent="0.25">
      <c r="A22" t="s">
        <v>32</v>
      </c>
      <c r="B22" t="s">
        <v>60</v>
      </c>
      <c r="C22" t="s">
        <v>196</v>
      </c>
    </row>
    <row r="23" spans="1:3" x14ac:dyDescent="0.25">
      <c r="A23" t="s">
        <v>33</v>
      </c>
      <c r="B23" t="s">
        <v>61</v>
      </c>
      <c r="C23" t="s">
        <v>192</v>
      </c>
    </row>
    <row r="24" spans="1:3" x14ac:dyDescent="0.25">
      <c r="A24" t="s">
        <v>34</v>
      </c>
      <c r="B24" t="s">
        <v>62</v>
      </c>
      <c r="C24" t="s">
        <v>191</v>
      </c>
    </row>
    <row r="25" spans="1:3" x14ac:dyDescent="0.25">
      <c r="A25" t="s">
        <v>35</v>
      </c>
      <c r="B25" t="s">
        <v>63</v>
      </c>
      <c r="C25" t="s">
        <v>191</v>
      </c>
    </row>
    <row r="26" spans="1:3" x14ac:dyDescent="0.25">
      <c r="A26" t="s">
        <v>36</v>
      </c>
      <c r="B26" t="s">
        <v>64</v>
      </c>
      <c r="C26" t="s">
        <v>194</v>
      </c>
    </row>
    <row r="27" spans="1:3" x14ac:dyDescent="0.25">
      <c r="A27" t="s">
        <v>37</v>
      </c>
      <c r="B27" t="s">
        <v>65</v>
      </c>
      <c r="C27" t="s">
        <v>192</v>
      </c>
    </row>
    <row r="28" spans="1:3" x14ac:dyDescent="0.25">
      <c r="A28" t="s">
        <v>38</v>
      </c>
      <c r="B28" t="s">
        <v>66</v>
      </c>
      <c r="C28" t="s">
        <v>192</v>
      </c>
    </row>
    <row r="29" spans="1:3" x14ac:dyDescent="0.25">
      <c r="A29" t="s">
        <v>39</v>
      </c>
      <c r="B29" t="s">
        <v>67</v>
      </c>
      <c r="C29" t="s">
        <v>192</v>
      </c>
    </row>
    <row r="30" spans="1:3" x14ac:dyDescent="0.25">
      <c r="A30" t="s">
        <v>40</v>
      </c>
      <c r="B30" t="s">
        <v>68</v>
      </c>
      <c r="C30" t="s">
        <v>198</v>
      </c>
    </row>
    <row r="31" spans="1:3" x14ac:dyDescent="0.25">
      <c r="A31" t="s">
        <v>41</v>
      </c>
      <c r="B31" t="s">
        <v>69</v>
      </c>
      <c r="C31" t="s">
        <v>191</v>
      </c>
    </row>
    <row r="32" spans="1:3" x14ac:dyDescent="0.25">
      <c r="A32" t="s">
        <v>117</v>
      </c>
      <c r="B32" t="s">
        <v>70</v>
      </c>
      <c r="C32" t="s">
        <v>191</v>
      </c>
    </row>
    <row r="33" spans="1:3" x14ac:dyDescent="0.25">
      <c r="A33" t="s">
        <v>118</v>
      </c>
      <c r="B33" t="s">
        <v>71</v>
      </c>
      <c r="C33" t="s">
        <v>191</v>
      </c>
    </row>
    <row r="34" spans="1:3" x14ac:dyDescent="0.25">
      <c r="A34" t="s">
        <v>119</v>
      </c>
      <c r="B34" t="s">
        <v>72</v>
      </c>
      <c r="C34" t="s">
        <v>191</v>
      </c>
    </row>
    <row r="35" spans="1:3" x14ac:dyDescent="0.25">
      <c r="A35" t="s">
        <v>120</v>
      </c>
      <c r="B35" t="s">
        <v>73</v>
      </c>
      <c r="C35" t="s">
        <v>193</v>
      </c>
    </row>
    <row r="36" spans="1:3" x14ac:dyDescent="0.25">
      <c r="A36" t="s">
        <v>121</v>
      </c>
      <c r="B36" t="s">
        <v>74</v>
      </c>
      <c r="C36" t="s">
        <v>193</v>
      </c>
    </row>
    <row r="37" spans="1:3" x14ac:dyDescent="0.25">
      <c r="A37" t="s">
        <v>122</v>
      </c>
      <c r="B37" t="s">
        <v>75</v>
      </c>
      <c r="C37" t="s">
        <v>193</v>
      </c>
    </row>
    <row r="38" spans="1:3" x14ac:dyDescent="0.25">
      <c r="A38" t="s">
        <v>123</v>
      </c>
      <c r="B38" t="s">
        <v>76</v>
      </c>
      <c r="C38" t="s">
        <v>192</v>
      </c>
    </row>
    <row r="39" spans="1:3" x14ac:dyDescent="0.25">
      <c r="A39" t="s">
        <v>124</v>
      </c>
      <c r="B39" t="s">
        <v>77</v>
      </c>
      <c r="C39" t="s">
        <v>194</v>
      </c>
    </row>
    <row r="40" spans="1:3" x14ac:dyDescent="0.25">
      <c r="A40" t="s">
        <v>125</v>
      </c>
      <c r="B40" t="s">
        <v>78</v>
      </c>
      <c r="C40" t="s">
        <v>194</v>
      </c>
    </row>
    <row r="41" spans="1:3" x14ac:dyDescent="0.25">
      <c r="A41" t="s">
        <v>126</v>
      </c>
      <c r="B41" t="s">
        <v>79</v>
      </c>
      <c r="C41" t="s">
        <v>193</v>
      </c>
    </row>
    <row r="42" spans="1:3" x14ac:dyDescent="0.25">
      <c r="A42" t="s">
        <v>127</v>
      </c>
      <c r="B42" t="s">
        <v>80</v>
      </c>
      <c r="C42" t="s">
        <v>192</v>
      </c>
    </row>
    <row r="43" spans="1:3" x14ac:dyDescent="0.25">
      <c r="A43" t="s">
        <v>128</v>
      </c>
      <c r="B43" t="s">
        <v>81</v>
      </c>
      <c r="C43" t="s">
        <v>195</v>
      </c>
    </row>
    <row r="44" spans="1:3" x14ac:dyDescent="0.25">
      <c r="A44" t="s">
        <v>129</v>
      </c>
      <c r="B44" t="s">
        <v>82</v>
      </c>
      <c r="C44" t="s">
        <v>195</v>
      </c>
    </row>
    <row r="45" spans="1:3" x14ac:dyDescent="0.25">
      <c r="A45" t="s">
        <v>130</v>
      </c>
      <c r="B45" t="s">
        <v>83</v>
      </c>
      <c r="C45" t="s">
        <v>196</v>
      </c>
    </row>
    <row r="46" spans="1:3" x14ac:dyDescent="0.25">
      <c r="A46" t="s">
        <v>131</v>
      </c>
      <c r="B46" t="s">
        <v>84</v>
      </c>
      <c r="C46" t="s">
        <v>195</v>
      </c>
    </row>
    <row r="47" spans="1:3" x14ac:dyDescent="0.25">
      <c r="A47" t="s">
        <v>132</v>
      </c>
      <c r="B47" t="s">
        <v>85</v>
      </c>
      <c r="C47" t="s">
        <v>191</v>
      </c>
    </row>
    <row r="48" spans="1:3" x14ac:dyDescent="0.25">
      <c r="A48" t="s">
        <v>133</v>
      </c>
      <c r="B48" t="s">
        <v>86</v>
      </c>
      <c r="C48" t="s">
        <v>195</v>
      </c>
    </row>
    <row r="49" spans="1:3" x14ac:dyDescent="0.25">
      <c r="A49" t="s">
        <v>134</v>
      </c>
      <c r="B49" t="s">
        <v>87</v>
      </c>
      <c r="C49" t="s">
        <v>193</v>
      </c>
    </row>
    <row r="50" spans="1:3" x14ac:dyDescent="0.25">
      <c r="A50" t="s">
        <v>135</v>
      </c>
      <c r="B50" t="s">
        <v>175</v>
      </c>
      <c r="C50" t="s">
        <v>193</v>
      </c>
    </row>
    <row r="51" spans="1:3" x14ac:dyDescent="0.25">
      <c r="A51" t="s">
        <v>136</v>
      </c>
      <c r="B51" t="s">
        <v>88</v>
      </c>
      <c r="C51" t="s">
        <v>191</v>
      </c>
    </row>
    <row r="52" spans="1:3" x14ac:dyDescent="0.25">
      <c r="A52" t="s">
        <v>137</v>
      </c>
      <c r="B52" t="s">
        <v>89</v>
      </c>
      <c r="C52" t="s">
        <v>192</v>
      </c>
    </row>
    <row r="53" spans="1:3" x14ac:dyDescent="0.25">
      <c r="A53" t="s">
        <v>138</v>
      </c>
      <c r="B53" t="s">
        <v>90</v>
      </c>
      <c r="C53" t="s">
        <v>191</v>
      </c>
    </row>
    <row r="54" spans="1:3" x14ac:dyDescent="0.25">
      <c r="A54" t="s">
        <v>139</v>
      </c>
      <c r="B54" t="s">
        <v>91</v>
      </c>
      <c r="C54" t="s">
        <v>191</v>
      </c>
    </row>
    <row r="55" spans="1:3" x14ac:dyDescent="0.25">
      <c r="A55" t="s">
        <v>140</v>
      </c>
      <c r="B55" t="s">
        <v>92</v>
      </c>
      <c r="C55" t="s">
        <v>191</v>
      </c>
    </row>
    <row r="56" spans="1:3" x14ac:dyDescent="0.25">
      <c r="A56" t="s">
        <v>141</v>
      </c>
      <c r="B56" t="s">
        <v>93</v>
      </c>
      <c r="C56" t="s">
        <v>191</v>
      </c>
    </row>
    <row r="57" spans="1:3" x14ac:dyDescent="0.25">
      <c r="A57" t="s">
        <v>142</v>
      </c>
      <c r="B57" t="s">
        <v>94</v>
      </c>
      <c r="C57" t="s">
        <v>197</v>
      </c>
    </row>
    <row r="58" spans="1:3" x14ac:dyDescent="0.25">
      <c r="A58" t="s">
        <v>143</v>
      </c>
      <c r="B58" t="s">
        <v>95</v>
      </c>
      <c r="C58" t="s">
        <v>197</v>
      </c>
    </row>
    <row r="59" spans="1:3" x14ac:dyDescent="0.25">
      <c r="A59" t="s">
        <v>144</v>
      </c>
      <c r="B59" t="s">
        <v>96</v>
      </c>
      <c r="C59" t="s">
        <v>193</v>
      </c>
    </row>
    <row r="60" spans="1:3" x14ac:dyDescent="0.25">
      <c r="A60" t="s">
        <v>145</v>
      </c>
      <c r="B60" t="s">
        <v>97</v>
      </c>
      <c r="C60" t="s">
        <v>194</v>
      </c>
    </row>
    <row r="61" spans="1:3" x14ac:dyDescent="0.25">
      <c r="A61" t="s">
        <v>146</v>
      </c>
      <c r="B61" t="s">
        <v>98</v>
      </c>
      <c r="C61" t="s">
        <v>196</v>
      </c>
    </row>
    <row r="62" spans="1:3" x14ac:dyDescent="0.25">
      <c r="A62" t="s">
        <v>147</v>
      </c>
      <c r="B62" t="s">
        <v>99</v>
      </c>
      <c r="C62" t="s">
        <v>193</v>
      </c>
    </row>
    <row r="63" spans="1:3" x14ac:dyDescent="0.25">
      <c r="A63" t="s">
        <v>148</v>
      </c>
      <c r="B63" t="s">
        <v>100</v>
      </c>
      <c r="C63" t="s">
        <v>192</v>
      </c>
    </row>
    <row r="64" spans="1:3" x14ac:dyDescent="0.25">
      <c r="A64" t="s">
        <v>149</v>
      </c>
      <c r="B64" t="s">
        <v>101</v>
      </c>
      <c r="C64" t="s">
        <v>198</v>
      </c>
    </row>
    <row r="65" spans="1:3" x14ac:dyDescent="0.25">
      <c r="A65" t="s">
        <v>150</v>
      </c>
      <c r="B65" t="s">
        <v>102</v>
      </c>
      <c r="C65" t="s">
        <v>196</v>
      </c>
    </row>
    <row r="66" spans="1:3" x14ac:dyDescent="0.25">
      <c r="A66" t="s">
        <v>151</v>
      </c>
      <c r="B66" t="s">
        <v>103</v>
      </c>
      <c r="C66" t="s">
        <v>193</v>
      </c>
    </row>
    <row r="67" spans="1:3" x14ac:dyDescent="0.25">
      <c r="A67" t="s">
        <v>152</v>
      </c>
      <c r="B67" t="s">
        <v>104</v>
      </c>
      <c r="C67" t="s">
        <v>194</v>
      </c>
    </row>
    <row r="68" spans="1:3" x14ac:dyDescent="0.25">
      <c r="A68" t="s">
        <v>153</v>
      </c>
      <c r="B68" t="s">
        <v>105</v>
      </c>
      <c r="C68" t="s">
        <v>194</v>
      </c>
    </row>
    <row r="69" spans="1:3" x14ac:dyDescent="0.25">
      <c r="A69" t="s">
        <v>154</v>
      </c>
      <c r="B69" t="s">
        <v>106</v>
      </c>
      <c r="C69" t="s">
        <v>193</v>
      </c>
    </row>
    <row r="70" spans="1:3" x14ac:dyDescent="0.25">
      <c r="A70" t="s">
        <v>155</v>
      </c>
      <c r="B70" t="s">
        <v>107</v>
      </c>
      <c r="C70" t="s">
        <v>196</v>
      </c>
    </row>
    <row r="71" spans="1:3" x14ac:dyDescent="0.25">
      <c r="A71" t="s">
        <v>156</v>
      </c>
      <c r="B71" t="s">
        <v>108</v>
      </c>
      <c r="C71" t="s">
        <v>192</v>
      </c>
    </row>
    <row r="72" spans="1:3" x14ac:dyDescent="0.25">
      <c r="A72" t="s">
        <v>157</v>
      </c>
      <c r="B72" t="s">
        <v>109</v>
      </c>
      <c r="C72" t="s">
        <v>198</v>
      </c>
    </row>
    <row r="73" spans="1:3" x14ac:dyDescent="0.25">
      <c r="A73" t="s">
        <v>158</v>
      </c>
      <c r="B73" t="s">
        <v>110</v>
      </c>
      <c r="C73" t="s">
        <v>193</v>
      </c>
    </row>
    <row r="74" spans="1:3" x14ac:dyDescent="0.25">
      <c r="A74" t="s">
        <v>159</v>
      </c>
      <c r="B74" t="s">
        <v>111</v>
      </c>
      <c r="C74" t="s">
        <v>193</v>
      </c>
    </row>
    <row r="75" spans="1:3" x14ac:dyDescent="0.25">
      <c r="A75" t="s">
        <v>160</v>
      </c>
      <c r="B75" t="s">
        <v>112</v>
      </c>
      <c r="C75" t="s">
        <v>192</v>
      </c>
    </row>
    <row r="76" spans="1:3" x14ac:dyDescent="0.25">
      <c r="A76" t="s">
        <v>161</v>
      </c>
      <c r="B76" t="s">
        <v>113</v>
      </c>
      <c r="C76" t="s">
        <v>191</v>
      </c>
    </row>
    <row r="77" spans="1:3" x14ac:dyDescent="0.25">
      <c r="A77" t="s">
        <v>162</v>
      </c>
      <c r="B77" t="s">
        <v>114</v>
      </c>
      <c r="C77" t="s">
        <v>194</v>
      </c>
    </row>
    <row r="78" spans="1:3" x14ac:dyDescent="0.25">
      <c r="A78" t="s">
        <v>163</v>
      </c>
      <c r="B78" t="s">
        <v>115</v>
      </c>
      <c r="C78" t="s">
        <v>193</v>
      </c>
    </row>
    <row r="79" spans="1:3" x14ac:dyDescent="0.25">
      <c r="A79" t="s">
        <v>164</v>
      </c>
      <c r="B79" t="s">
        <v>116</v>
      </c>
      <c r="C79" t="s">
        <v>193</v>
      </c>
    </row>
  </sheetData>
  <sheetProtection algorithmName="SHA-512" hashValue="Fr0ghyvYe/ycrnDjyvvVYMffhHHcVqsK/4wCxTjzQ73ry9lzK0B/8Wt6Ay1YUHA+DSaoS9jF2yX6S9jEFbZ9Bg==" saltValue="gJuG4+HCEwNj0zcUUVh0zw==" spinCount="100000" sheet="1" objects="1" scenarios="1" selectLockedCells="1" selectUnlockedCell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04"/>
  <sheetViews>
    <sheetView tabSelected="1" workbookViewId="0">
      <selection activeCell="D1" sqref="D1"/>
    </sheetView>
  </sheetViews>
  <sheetFormatPr defaultRowHeight="15" x14ac:dyDescent="0.25"/>
  <cols>
    <col min="2" max="2" width="9.28515625" customWidth="1"/>
    <col min="4" max="4" width="10.28515625" customWidth="1"/>
    <col min="5" max="5" width="10.42578125" customWidth="1"/>
    <col min="6" max="6" width="13.5703125" customWidth="1"/>
    <col min="7" max="7" width="11.140625" customWidth="1"/>
    <col min="9" max="9" width="10.85546875" customWidth="1"/>
    <col min="10" max="10" width="9.5703125" customWidth="1"/>
    <col min="11" max="11" width="11.85546875" bestFit="1" customWidth="1"/>
  </cols>
  <sheetData>
    <row r="1" spans="1:11" x14ac:dyDescent="0.25">
      <c r="A1" t="s">
        <v>0</v>
      </c>
      <c r="B1" t="s">
        <v>9</v>
      </c>
      <c r="C1" t="s">
        <v>165</v>
      </c>
      <c r="D1" t="s">
        <v>166</v>
      </c>
      <c r="E1" t="s">
        <v>167</v>
      </c>
      <c r="F1" t="s">
        <v>168</v>
      </c>
      <c r="G1" t="s">
        <v>169</v>
      </c>
      <c r="H1" t="s">
        <v>170</v>
      </c>
      <c r="I1" t="s">
        <v>171</v>
      </c>
      <c r="J1" t="s">
        <v>172</v>
      </c>
      <c r="K1" t="s">
        <v>199</v>
      </c>
    </row>
    <row r="2" spans="1:11" ht="15" customHeight="1" x14ac:dyDescent="0.25">
      <c r="A2" t="s">
        <v>183</v>
      </c>
      <c r="B2" t="s">
        <v>12</v>
      </c>
      <c r="C2">
        <v>100000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4</v>
      </c>
    </row>
    <row r="3" spans="1:11" ht="15" customHeight="1" x14ac:dyDescent="0.25">
      <c r="A3" t="s">
        <v>184</v>
      </c>
      <c r="B3" t="s">
        <v>12</v>
      </c>
      <c r="C3">
        <v>100000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0</v>
      </c>
      <c r="K3">
        <v>4</v>
      </c>
    </row>
    <row r="4" spans="1:11" ht="15" customHeight="1" x14ac:dyDescent="0.25">
      <c r="A4" t="s">
        <v>185</v>
      </c>
      <c r="B4" t="s">
        <v>12</v>
      </c>
      <c r="C4">
        <v>90000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0</v>
      </c>
      <c r="K4">
        <v>4</v>
      </c>
    </row>
    <row r="5" spans="1:11" ht="15" customHeight="1" x14ac:dyDescent="0.25">
      <c r="A5" t="s">
        <v>186</v>
      </c>
      <c r="B5" t="s">
        <v>12</v>
      </c>
      <c r="C5">
        <v>85000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5</v>
      </c>
    </row>
    <row r="6" spans="1:11" ht="15" customHeight="1" x14ac:dyDescent="0.25">
      <c r="A6" t="s">
        <v>177</v>
      </c>
      <c r="B6" t="s">
        <v>12</v>
      </c>
      <c r="C6">
        <v>125000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3</v>
      </c>
    </row>
    <row r="7" spans="1:11" ht="15" customHeight="1" x14ac:dyDescent="0.25">
      <c r="A7" t="s">
        <v>178</v>
      </c>
      <c r="B7" t="s">
        <v>12</v>
      </c>
      <c r="C7">
        <v>130000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3</v>
      </c>
    </row>
    <row r="8" spans="1:11" ht="15" customHeight="1" x14ac:dyDescent="0.25">
      <c r="A8" t="s">
        <v>179</v>
      </c>
      <c r="B8" t="s">
        <v>12</v>
      </c>
      <c r="C8">
        <v>120000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4</v>
      </c>
    </row>
    <row r="9" spans="1:11" ht="15" customHeight="1" x14ac:dyDescent="0.25">
      <c r="A9" t="s">
        <v>180</v>
      </c>
      <c r="B9" t="s">
        <v>12</v>
      </c>
      <c r="C9">
        <v>125000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</v>
      </c>
      <c r="K9">
        <v>3</v>
      </c>
    </row>
    <row r="10" spans="1:11" ht="15" customHeight="1" x14ac:dyDescent="0.25">
      <c r="A10" t="s">
        <v>181</v>
      </c>
      <c r="B10" t="s">
        <v>12</v>
      </c>
      <c r="C10">
        <v>120000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0</v>
      </c>
      <c r="K10">
        <v>3</v>
      </c>
    </row>
    <row r="11" spans="1:11" ht="15" customHeight="1" x14ac:dyDescent="0.25">
      <c r="A11" t="s">
        <v>182</v>
      </c>
      <c r="B11" t="s">
        <v>12</v>
      </c>
      <c r="C11">
        <v>120000</v>
      </c>
      <c r="D11">
        <v>1</v>
      </c>
      <c r="E11">
        <v>1</v>
      </c>
      <c r="F11">
        <v>1</v>
      </c>
      <c r="G11">
        <v>1</v>
      </c>
      <c r="H11">
        <v>1</v>
      </c>
      <c r="I11">
        <v>0</v>
      </c>
      <c r="J11">
        <v>0</v>
      </c>
      <c r="K11">
        <v>3</v>
      </c>
    </row>
    <row r="12" spans="1:11" ht="15" customHeight="1" x14ac:dyDescent="0.25">
      <c r="A12" t="s">
        <v>183</v>
      </c>
      <c r="B12" t="s">
        <v>13</v>
      </c>
      <c r="C12">
        <v>1000000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3</v>
      </c>
    </row>
    <row r="13" spans="1:11" ht="15" customHeight="1" x14ac:dyDescent="0.25">
      <c r="A13" t="s">
        <v>184</v>
      </c>
      <c r="B13" t="s">
        <v>13</v>
      </c>
      <c r="C13">
        <v>950000</v>
      </c>
      <c r="D13">
        <v>0</v>
      </c>
      <c r="E13">
        <v>0</v>
      </c>
      <c r="F13">
        <v>0</v>
      </c>
      <c r="G13">
        <v>0</v>
      </c>
      <c r="H13">
        <v>1</v>
      </c>
      <c r="I13">
        <v>0</v>
      </c>
      <c r="J13">
        <v>0</v>
      </c>
      <c r="K13">
        <v>3</v>
      </c>
    </row>
    <row r="14" spans="1:11" ht="15" customHeight="1" x14ac:dyDescent="0.25">
      <c r="A14" t="s">
        <v>185</v>
      </c>
      <c r="B14" t="s">
        <v>13</v>
      </c>
      <c r="C14">
        <v>900000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3</v>
      </c>
    </row>
    <row r="15" spans="1:11" ht="15" customHeight="1" x14ac:dyDescent="0.25">
      <c r="A15" t="s">
        <v>186</v>
      </c>
      <c r="B15" t="s">
        <v>13</v>
      </c>
      <c r="C15">
        <v>1050000</v>
      </c>
      <c r="D15">
        <v>1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3</v>
      </c>
    </row>
    <row r="16" spans="1:11" ht="15" customHeight="1" x14ac:dyDescent="0.25">
      <c r="A16" t="s">
        <v>177</v>
      </c>
      <c r="B16" t="s">
        <v>13</v>
      </c>
      <c r="C16">
        <v>1000000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</v>
      </c>
    </row>
    <row r="17" spans="1:11" ht="15" customHeight="1" x14ac:dyDescent="0.25">
      <c r="A17" t="s">
        <v>178</v>
      </c>
      <c r="B17" t="s">
        <v>13</v>
      </c>
      <c r="C17">
        <v>1200000</v>
      </c>
      <c r="D17">
        <v>0</v>
      </c>
      <c r="E17">
        <v>1</v>
      </c>
      <c r="F17">
        <v>0</v>
      </c>
      <c r="G17">
        <v>0</v>
      </c>
      <c r="H17">
        <v>1</v>
      </c>
      <c r="I17">
        <v>0</v>
      </c>
      <c r="J17">
        <v>0</v>
      </c>
      <c r="K17">
        <v>2</v>
      </c>
    </row>
    <row r="18" spans="1:11" ht="15" customHeight="1" x14ac:dyDescent="0.25">
      <c r="A18" t="s">
        <v>179</v>
      </c>
      <c r="B18" t="s">
        <v>13</v>
      </c>
      <c r="C18">
        <v>1150000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</v>
      </c>
    </row>
    <row r="19" spans="1:11" ht="15" customHeight="1" x14ac:dyDescent="0.25">
      <c r="A19" t="s">
        <v>180</v>
      </c>
      <c r="B19" t="s">
        <v>13</v>
      </c>
      <c r="C19">
        <v>1000000</v>
      </c>
      <c r="D19">
        <v>0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>
        <v>2</v>
      </c>
    </row>
    <row r="20" spans="1:11" ht="15" customHeight="1" x14ac:dyDescent="0.25">
      <c r="A20" t="s">
        <v>181</v>
      </c>
      <c r="B20" t="s">
        <v>13</v>
      </c>
      <c r="C20">
        <v>1000000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2</v>
      </c>
    </row>
    <row r="21" spans="1:11" ht="15" customHeight="1" x14ac:dyDescent="0.25">
      <c r="A21" t="s">
        <v>182</v>
      </c>
      <c r="B21" t="s">
        <v>13</v>
      </c>
      <c r="C21">
        <v>1200000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</row>
    <row r="22" spans="1:11" ht="15" customHeight="1" x14ac:dyDescent="0.25">
      <c r="A22" t="s">
        <v>183</v>
      </c>
      <c r="B22" t="s">
        <v>14</v>
      </c>
      <c r="C22">
        <v>950000</v>
      </c>
      <c r="D22">
        <v>0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>
        <v>4</v>
      </c>
    </row>
    <row r="23" spans="1:11" ht="15" customHeight="1" x14ac:dyDescent="0.25">
      <c r="A23" t="s">
        <v>184</v>
      </c>
      <c r="B23" t="s">
        <v>14</v>
      </c>
      <c r="C23">
        <v>900000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5</v>
      </c>
    </row>
    <row r="24" spans="1:11" ht="15" customHeight="1" x14ac:dyDescent="0.25">
      <c r="A24" t="s">
        <v>185</v>
      </c>
      <c r="B24" t="s">
        <v>14</v>
      </c>
      <c r="C24">
        <v>975000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4</v>
      </c>
    </row>
    <row r="25" spans="1:11" ht="15" customHeight="1" x14ac:dyDescent="0.25">
      <c r="A25" t="s">
        <v>186</v>
      </c>
      <c r="B25" t="s">
        <v>14</v>
      </c>
      <c r="C25">
        <v>960000</v>
      </c>
      <c r="D25">
        <v>0</v>
      </c>
      <c r="E25">
        <v>0</v>
      </c>
      <c r="F25">
        <v>0</v>
      </c>
      <c r="G25">
        <v>0</v>
      </c>
      <c r="H25">
        <v>1</v>
      </c>
      <c r="I25">
        <v>0</v>
      </c>
      <c r="J25">
        <v>0</v>
      </c>
      <c r="K25">
        <v>4</v>
      </c>
    </row>
    <row r="26" spans="1:11" ht="15" customHeight="1" x14ac:dyDescent="0.25">
      <c r="A26" t="s">
        <v>177</v>
      </c>
      <c r="B26" t="s">
        <v>14</v>
      </c>
      <c r="C26">
        <v>1000000</v>
      </c>
      <c r="D26">
        <v>0</v>
      </c>
      <c r="E26">
        <v>0</v>
      </c>
      <c r="F26">
        <v>1</v>
      </c>
      <c r="G26">
        <v>0</v>
      </c>
      <c r="H26">
        <v>0</v>
      </c>
      <c r="I26">
        <v>0</v>
      </c>
      <c r="J26">
        <v>0</v>
      </c>
      <c r="K26">
        <v>3</v>
      </c>
    </row>
    <row r="27" spans="1:11" ht="15" customHeight="1" x14ac:dyDescent="0.25">
      <c r="A27" t="s">
        <v>178</v>
      </c>
      <c r="B27" t="s">
        <v>14</v>
      </c>
      <c r="C27">
        <v>1200000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3</v>
      </c>
    </row>
    <row r="28" spans="1:11" ht="15" customHeight="1" x14ac:dyDescent="0.25">
      <c r="A28" t="s">
        <v>179</v>
      </c>
      <c r="B28" t="s">
        <v>14</v>
      </c>
      <c r="C28">
        <v>975000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3</v>
      </c>
    </row>
    <row r="29" spans="1:11" ht="15" customHeight="1" x14ac:dyDescent="0.25">
      <c r="A29" t="s">
        <v>180</v>
      </c>
      <c r="B29" t="s">
        <v>14</v>
      </c>
      <c r="C29">
        <v>1000000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3</v>
      </c>
    </row>
    <row r="30" spans="1:11" ht="15" customHeight="1" x14ac:dyDescent="0.25">
      <c r="A30" t="s">
        <v>181</v>
      </c>
      <c r="B30" t="s">
        <v>14</v>
      </c>
      <c r="C30">
        <v>1100000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3</v>
      </c>
    </row>
    <row r="31" spans="1:11" ht="15" customHeight="1" x14ac:dyDescent="0.25">
      <c r="A31" t="s">
        <v>182</v>
      </c>
      <c r="B31" t="s">
        <v>14</v>
      </c>
      <c r="C31">
        <v>1150000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3</v>
      </c>
    </row>
    <row r="32" spans="1:11" ht="15" customHeight="1" x14ac:dyDescent="0.25">
      <c r="A32" t="s">
        <v>183</v>
      </c>
      <c r="B32" t="s">
        <v>15</v>
      </c>
      <c r="C32">
        <v>1200000</v>
      </c>
      <c r="D32">
        <v>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10</v>
      </c>
    </row>
    <row r="33" spans="1:11" ht="15" customHeight="1" x14ac:dyDescent="0.25">
      <c r="A33" t="s">
        <v>184</v>
      </c>
      <c r="B33" t="s">
        <v>15</v>
      </c>
      <c r="C33">
        <v>1300000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10</v>
      </c>
    </row>
    <row r="34" spans="1:11" ht="15" customHeight="1" x14ac:dyDescent="0.25">
      <c r="A34" t="s">
        <v>185</v>
      </c>
      <c r="B34" t="s">
        <v>15</v>
      </c>
      <c r="C34">
        <v>1210000</v>
      </c>
      <c r="D34">
        <v>0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10</v>
      </c>
    </row>
    <row r="35" spans="1:11" ht="15" customHeight="1" x14ac:dyDescent="0.25">
      <c r="A35" t="s">
        <v>178</v>
      </c>
      <c r="B35" t="s">
        <v>15</v>
      </c>
      <c r="C35">
        <v>1500000</v>
      </c>
      <c r="D35">
        <v>0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7</v>
      </c>
    </row>
    <row r="36" spans="1:11" ht="15" customHeight="1" x14ac:dyDescent="0.25">
      <c r="A36" t="s">
        <v>181</v>
      </c>
      <c r="B36" t="s">
        <v>15</v>
      </c>
      <c r="C36">
        <v>1400000</v>
      </c>
      <c r="D36">
        <v>0</v>
      </c>
      <c r="E36">
        <v>0</v>
      </c>
      <c r="F36">
        <v>0</v>
      </c>
      <c r="G36">
        <v>1</v>
      </c>
      <c r="H36">
        <v>0</v>
      </c>
      <c r="I36">
        <v>0</v>
      </c>
      <c r="J36">
        <v>0</v>
      </c>
      <c r="K36">
        <v>7</v>
      </c>
    </row>
    <row r="37" spans="1:11" ht="15" customHeight="1" x14ac:dyDescent="0.25">
      <c r="A37" t="s">
        <v>182</v>
      </c>
      <c r="B37" t="s">
        <v>15</v>
      </c>
      <c r="C37">
        <v>1550000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6</v>
      </c>
    </row>
    <row r="38" spans="1:11" ht="15" customHeight="1" x14ac:dyDescent="0.25">
      <c r="A38" t="s">
        <v>183</v>
      </c>
      <c r="B38" t="s">
        <v>16</v>
      </c>
      <c r="C38">
        <v>1200000</v>
      </c>
      <c r="D38">
        <v>0</v>
      </c>
      <c r="E38">
        <v>0</v>
      </c>
      <c r="F38">
        <v>1</v>
      </c>
      <c r="G38">
        <v>0</v>
      </c>
      <c r="H38">
        <v>0</v>
      </c>
      <c r="I38">
        <v>0</v>
      </c>
      <c r="J38">
        <v>0</v>
      </c>
      <c r="K38">
        <v>10</v>
      </c>
    </row>
    <row r="39" spans="1:11" ht="15" customHeight="1" x14ac:dyDescent="0.25">
      <c r="A39" t="s">
        <v>184</v>
      </c>
      <c r="B39" t="s">
        <v>16</v>
      </c>
      <c r="C39">
        <v>1215000</v>
      </c>
      <c r="D39">
        <v>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10</v>
      </c>
    </row>
    <row r="40" spans="1:11" ht="15" customHeight="1" x14ac:dyDescent="0.25">
      <c r="A40" t="s">
        <v>185</v>
      </c>
      <c r="B40" t="s">
        <v>16</v>
      </c>
      <c r="C40">
        <v>1190000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10</v>
      </c>
    </row>
    <row r="41" spans="1:11" ht="15" customHeight="1" x14ac:dyDescent="0.25">
      <c r="A41" t="s">
        <v>179</v>
      </c>
      <c r="B41" t="s">
        <v>16</v>
      </c>
      <c r="C41">
        <v>1500000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7</v>
      </c>
    </row>
    <row r="42" spans="1:11" ht="15" customHeight="1" x14ac:dyDescent="0.25">
      <c r="A42" t="s">
        <v>180</v>
      </c>
      <c r="B42" t="s">
        <v>16</v>
      </c>
      <c r="C42">
        <v>1450000</v>
      </c>
      <c r="D42">
        <v>0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8</v>
      </c>
    </row>
    <row r="43" spans="1:11" ht="15" customHeight="1" x14ac:dyDescent="0.25">
      <c r="A43" t="s">
        <v>182</v>
      </c>
      <c r="B43" t="s">
        <v>16</v>
      </c>
      <c r="C43">
        <v>1500000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7</v>
      </c>
    </row>
    <row r="44" spans="1:11" ht="15" customHeight="1" x14ac:dyDescent="0.25">
      <c r="A44" t="s">
        <v>183</v>
      </c>
      <c r="B44" t="s">
        <v>17</v>
      </c>
      <c r="C44">
        <v>700000</v>
      </c>
      <c r="D44">
        <v>0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5</v>
      </c>
    </row>
    <row r="45" spans="1:11" ht="15" customHeight="1" x14ac:dyDescent="0.25">
      <c r="A45" t="s">
        <v>184</v>
      </c>
      <c r="B45" t="s">
        <v>17</v>
      </c>
      <c r="C45">
        <v>700000</v>
      </c>
      <c r="D45">
        <v>0</v>
      </c>
      <c r="E45">
        <v>0</v>
      </c>
      <c r="F45">
        <v>1</v>
      </c>
      <c r="G45">
        <v>0</v>
      </c>
      <c r="H45">
        <v>0</v>
      </c>
      <c r="I45">
        <v>0</v>
      </c>
      <c r="J45">
        <v>0</v>
      </c>
      <c r="K45">
        <v>5</v>
      </c>
    </row>
    <row r="46" spans="1:11" ht="15" customHeight="1" x14ac:dyDescent="0.25">
      <c r="A46" t="s">
        <v>185</v>
      </c>
      <c r="B46" t="s">
        <v>17</v>
      </c>
      <c r="C46">
        <v>710000</v>
      </c>
      <c r="D46">
        <v>1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5</v>
      </c>
    </row>
    <row r="47" spans="1:11" ht="15" customHeight="1" x14ac:dyDescent="0.25">
      <c r="A47" t="s">
        <v>186</v>
      </c>
      <c r="B47" t="s">
        <v>17</v>
      </c>
      <c r="C47">
        <v>720000</v>
      </c>
      <c r="D47">
        <v>0</v>
      </c>
      <c r="E47">
        <v>1</v>
      </c>
      <c r="F47">
        <v>0</v>
      </c>
      <c r="G47">
        <v>0</v>
      </c>
      <c r="H47">
        <v>1</v>
      </c>
      <c r="I47">
        <v>0</v>
      </c>
      <c r="J47">
        <v>0</v>
      </c>
      <c r="K47">
        <v>5</v>
      </c>
    </row>
    <row r="48" spans="1:11" ht="15" customHeight="1" x14ac:dyDescent="0.25">
      <c r="A48" t="s">
        <v>177</v>
      </c>
      <c r="B48" t="s">
        <v>17</v>
      </c>
      <c r="C48">
        <v>800000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4</v>
      </c>
    </row>
    <row r="49" spans="1:11" ht="15" customHeight="1" x14ac:dyDescent="0.25">
      <c r="A49" t="s">
        <v>178</v>
      </c>
      <c r="B49" t="s">
        <v>17</v>
      </c>
      <c r="C49">
        <v>900000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4</v>
      </c>
    </row>
    <row r="50" spans="1:11" ht="15" customHeight="1" x14ac:dyDescent="0.25">
      <c r="A50" t="s">
        <v>179</v>
      </c>
      <c r="B50" t="s">
        <v>17</v>
      </c>
      <c r="C50">
        <v>850000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4</v>
      </c>
    </row>
    <row r="51" spans="1:11" ht="15" customHeight="1" x14ac:dyDescent="0.25">
      <c r="A51" t="s">
        <v>180</v>
      </c>
      <c r="B51" t="s">
        <v>17</v>
      </c>
      <c r="C51">
        <v>920000</v>
      </c>
      <c r="D51">
        <v>1</v>
      </c>
      <c r="E51">
        <v>0</v>
      </c>
      <c r="F51">
        <v>0</v>
      </c>
      <c r="G51">
        <v>1</v>
      </c>
      <c r="H51">
        <v>0</v>
      </c>
      <c r="I51">
        <v>0</v>
      </c>
      <c r="J51">
        <v>0</v>
      </c>
      <c r="K51">
        <v>4</v>
      </c>
    </row>
    <row r="52" spans="1:11" ht="15" customHeight="1" x14ac:dyDescent="0.25">
      <c r="A52" t="s">
        <v>181</v>
      </c>
      <c r="B52" t="s">
        <v>17</v>
      </c>
      <c r="C52">
        <v>875000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4</v>
      </c>
    </row>
    <row r="53" spans="1:11" ht="15" customHeight="1" x14ac:dyDescent="0.25">
      <c r="A53" t="s">
        <v>182</v>
      </c>
      <c r="B53" t="s">
        <v>17</v>
      </c>
      <c r="C53">
        <v>900000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4</v>
      </c>
    </row>
    <row r="54" spans="1:11" ht="15" customHeight="1" x14ac:dyDescent="0.25">
      <c r="A54" t="s">
        <v>183</v>
      </c>
      <c r="B54" t="s">
        <v>18</v>
      </c>
      <c r="C54">
        <v>700000</v>
      </c>
      <c r="D54">
        <v>0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5</v>
      </c>
    </row>
    <row r="55" spans="1:11" ht="15" customHeight="1" x14ac:dyDescent="0.25">
      <c r="A55" t="s">
        <v>184</v>
      </c>
      <c r="B55" t="s">
        <v>18</v>
      </c>
      <c r="C55">
        <v>700000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5</v>
      </c>
    </row>
    <row r="56" spans="1:11" ht="15" customHeight="1" x14ac:dyDescent="0.25">
      <c r="A56" t="s">
        <v>185</v>
      </c>
      <c r="B56" t="s">
        <v>18</v>
      </c>
      <c r="C56">
        <v>710000</v>
      </c>
      <c r="D56">
        <v>1</v>
      </c>
      <c r="E56">
        <v>0</v>
      </c>
      <c r="F56">
        <v>0</v>
      </c>
      <c r="G56">
        <v>1</v>
      </c>
      <c r="H56">
        <v>0</v>
      </c>
      <c r="I56">
        <v>0</v>
      </c>
      <c r="J56">
        <v>0</v>
      </c>
      <c r="K56">
        <v>5</v>
      </c>
    </row>
    <row r="57" spans="1:11" ht="15" customHeight="1" x14ac:dyDescent="0.25">
      <c r="A57" t="s">
        <v>186</v>
      </c>
      <c r="B57" t="s">
        <v>18</v>
      </c>
      <c r="C57">
        <v>720000</v>
      </c>
      <c r="D57">
        <v>0</v>
      </c>
      <c r="E57">
        <v>1</v>
      </c>
      <c r="F57">
        <v>0</v>
      </c>
      <c r="G57">
        <v>0</v>
      </c>
      <c r="H57">
        <v>1</v>
      </c>
      <c r="I57">
        <v>0</v>
      </c>
      <c r="J57">
        <v>0</v>
      </c>
      <c r="K57">
        <v>5</v>
      </c>
    </row>
    <row r="58" spans="1:11" ht="15" customHeight="1" x14ac:dyDescent="0.25">
      <c r="A58" t="s">
        <v>177</v>
      </c>
      <c r="B58" t="s">
        <v>18</v>
      </c>
      <c r="C58">
        <v>800000</v>
      </c>
      <c r="D58">
        <v>0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4</v>
      </c>
    </row>
    <row r="59" spans="1:11" ht="15" customHeight="1" x14ac:dyDescent="0.25">
      <c r="A59" t="s">
        <v>178</v>
      </c>
      <c r="B59" t="s">
        <v>18</v>
      </c>
      <c r="C59">
        <v>900000</v>
      </c>
      <c r="D59">
        <v>0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4</v>
      </c>
    </row>
    <row r="60" spans="1:11" ht="15" customHeight="1" x14ac:dyDescent="0.25">
      <c r="A60" t="s">
        <v>179</v>
      </c>
      <c r="B60" t="s">
        <v>18</v>
      </c>
      <c r="C60">
        <v>850000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4</v>
      </c>
    </row>
    <row r="61" spans="1:11" ht="15" customHeight="1" x14ac:dyDescent="0.25">
      <c r="A61" t="s">
        <v>180</v>
      </c>
      <c r="B61" t="s">
        <v>18</v>
      </c>
      <c r="C61">
        <v>920000</v>
      </c>
      <c r="D61">
        <v>1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4</v>
      </c>
    </row>
    <row r="62" spans="1:11" ht="15" customHeight="1" x14ac:dyDescent="0.25">
      <c r="A62" t="s">
        <v>181</v>
      </c>
      <c r="B62" t="s">
        <v>18</v>
      </c>
      <c r="C62">
        <v>875000</v>
      </c>
      <c r="D62">
        <v>0</v>
      </c>
      <c r="E62">
        <v>0</v>
      </c>
      <c r="F62">
        <v>0</v>
      </c>
      <c r="G62">
        <v>0</v>
      </c>
      <c r="H62">
        <v>1</v>
      </c>
      <c r="I62">
        <v>0</v>
      </c>
      <c r="J62">
        <v>0</v>
      </c>
      <c r="K62">
        <v>4</v>
      </c>
    </row>
    <row r="63" spans="1:11" ht="15" customHeight="1" x14ac:dyDescent="0.25">
      <c r="A63" t="s">
        <v>182</v>
      </c>
      <c r="B63" t="s">
        <v>18</v>
      </c>
      <c r="C63">
        <v>900000</v>
      </c>
      <c r="D63">
        <v>1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4</v>
      </c>
    </row>
    <row r="64" spans="1:11" ht="15" customHeight="1" x14ac:dyDescent="0.25">
      <c r="A64" t="s">
        <v>183</v>
      </c>
      <c r="B64" t="s">
        <v>19</v>
      </c>
      <c r="C64">
        <v>400000</v>
      </c>
      <c r="D64">
        <v>0</v>
      </c>
      <c r="E64">
        <v>1</v>
      </c>
      <c r="F64">
        <v>0</v>
      </c>
      <c r="G64">
        <v>0</v>
      </c>
      <c r="H64">
        <v>1</v>
      </c>
      <c r="I64">
        <v>0</v>
      </c>
      <c r="J64">
        <v>0</v>
      </c>
      <c r="K64">
        <v>4</v>
      </c>
    </row>
    <row r="65" spans="1:11" ht="15" customHeight="1" x14ac:dyDescent="0.25">
      <c r="A65" t="s">
        <v>184</v>
      </c>
      <c r="B65" t="s">
        <v>19</v>
      </c>
      <c r="C65">
        <v>420000</v>
      </c>
      <c r="D65">
        <v>1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3</v>
      </c>
    </row>
    <row r="66" spans="1:11" ht="15" customHeight="1" x14ac:dyDescent="0.25">
      <c r="A66" t="s">
        <v>185</v>
      </c>
      <c r="B66" t="s">
        <v>19</v>
      </c>
      <c r="C66">
        <v>450000</v>
      </c>
      <c r="D66">
        <v>0</v>
      </c>
      <c r="E66">
        <v>1</v>
      </c>
      <c r="F66">
        <v>0</v>
      </c>
      <c r="G66">
        <v>0</v>
      </c>
      <c r="H66">
        <v>1</v>
      </c>
      <c r="I66">
        <v>0</v>
      </c>
      <c r="J66">
        <v>0</v>
      </c>
      <c r="K66">
        <v>3</v>
      </c>
    </row>
    <row r="67" spans="1:11" ht="15" customHeight="1" x14ac:dyDescent="0.25">
      <c r="A67" t="s">
        <v>186</v>
      </c>
      <c r="B67" t="s">
        <v>19</v>
      </c>
      <c r="C67">
        <v>425000</v>
      </c>
      <c r="D67">
        <v>1</v>
      </c>
      <c r="E67">
        <v>0</v>
      </c>
      <c r="F67">
        <v>0</v>
      </c>
      <c r="G67">
        <v>0</v>
      </c>
      <c r="H67">
        <v>1</v>
      </c>
      <c r="I67">
        <v>0</v>
      </c>
      <c r="J67">
        <v>0</v>
      </c>
      <c r="K67">
        <v>3</v>
      </c>
    </row>
    <row r="68" spans="1:11" ht="15" customHeight="1" x14ac:dyDescent="0.25">
      <c r="A68" t="s">
        <v>177</v>
      </c>
      <c r="B68" t="s">
        <v>19</v>
      </c>
      <c r="C68">
        <v>600000</v>
      </c>
      <c r="D68">
        <v>1</v>
      </c>
      <c r="E68">
        <v>0</v>
      </c>
      <c r="F68">
        <v>1</v>
      </c>
      <c r="G68">
        <v>0</v>
      </c>
      <c r="H68">
        <v>1</v>
      </c>
      <c r="I68">
        <v>0</v>
      </c>
      <c r="J68">
        <v>0</v>
      </c>
      <c r="K68">
        <v>2</v>
      </c>
    </row>
    <row r="69" spans="1:11" ht="15" customHeight="1" x14ac:dyDescent="0.25">
      <c r="A69" t="s">
        <v>178</v>
      </c>
      <c r="B69" t="s">
        <v>19</v>
      </c>
      <c r="C69">
        <v>575000</v>
      </c>
      <c r="D69">
        <v>1</v>
      </c>
      <c r="E69">
        <v>0</v>
      </c>
      <c r="F69">
        <v>0</v>
      </c>
      <c r="G69">
        <v>1</v>
      </c>
      <c r="H69">
        <v>0</v>
      </c>
      <c r="I69">
        <v>0</v>
      </c>
      <c r="J69">
        <v>0</v>
      </c>
      <c r="K69">
        <v>2</v>
      </c>
    </row>
    <row r="70" spans="1:11" ht="15" customHeight="1" x14ac:dyDescent="0.25">
      <c r="A70" t="s">
        <v>179</v>
      </c>
      <c r="B70" t="s">
        <v>19</v>
      </c>
      <c r="C70">
        <v>610000</v>
      </c>
      <c r="D70">
        <v>1</v>
      </c>
      <c r="E70">
        <v>0</v>
      </c>
      <c r="F70">
        <v>1</v>
      </c>
      <c r="G70">
        <v>0</v>
      </c>
      <c r="H70">
        <v>1</v>
      </c>
      <c r="I70">
        <v>0</v>
      </c>
      <c r="J70">
        <v>0</v>
      </c>
      <c r="K70">
        <v>2</v>
      </c>
    </row>
    <row r="71" spans="1:11" ht="15" customHeight="1" x14ac:dyDescent="0.25">
      <c r="A71" t="s">
        <v>180</v>
      </c>
      <c r="B71" t="s">
        <v>19</v>
      </c>
      <c r="C71">
        <v>550000</v>
      </c>
      <c r="D71">
        <v>0</v>
      </c>
      <c r="E71">
        <v>1</v>
      </c>
      <c r="F71">
        <v>0</v>
      </c>
      <c r="G71">
        <v>0</v>
      </c>
      <c r="H71">
        <v>1</v>
      </c>
      <c r="I71">
        <v>0</v>
      </c>
      <c r="J71">
        <v>0</v>
      </c>
      <c r="K71">
        <v>2</v>
      </c>
    </row>
    <row r="72" spans="1:11" ht="15" customHeight="1" x14ac:dyDescent="0.25">
      <c r="A72" t="s">
        <v>181</v>
      </c>
      <c r="B72" t="s">
        <v>19</v>
      </c>
      <c r="C72">
        <v>580000</v>
      </c>
      <c r="D72">
        <v>1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2</v>
      </c>
    </row>
    <row r="73" spans="1:11" ht="15" customHeight="1" x14ac:dyDescent="0.25">
      <c r="A73" t="s">
        <v>182</v>
      </c>
      <c r="B73" t="s">
        <v>19</v>
      </c>
      <c r="C73">
        <v>600000</v>
      </c>
      <c r="D73">
        <v>1</v>
      </c>
      <c r="E73">
        <v>0</v>
      </c>
      <c r="F73">
        <v>1</v>
      </c>
      <c r="G73">
        <v>0</v>
      </c>
      <c r="H73">
        <v>1</v>
      </c>
      <c r="I73">
        <v>0</v>
      </c>
      <c r="J73">
        <v>0</v>
      </c>
      <c r="K73">
        <v>2</v>
      </c>
    </row>
    <row r="74" spans="1:11" ht="15" customHeight="1" x14ac:dyDescent="0.25">
      <c r="A74" t="s">
        <v>183</v>
      </c>
      <c r="B74" t="s">
        <v>20</v>
      </c>
      <c r="C74">
        <v>400000</v>
      </c>
      <c r="D74">
        <v>0</v>
      </c>
      <c r="E74">
        <v>1</v>
      </c>
      <c r="F74">
        <v>0</v>
      </c>
      <c r="G74">
        <v>0</v>
      </c>
      <c r="H74">
        <v>1</v>
      </c>
      <c r="I74">
        <v>0</v>
      </c>
      <c r="J74">
        <v>0</v>
      </c>
      <c r="K74">
        <v>4</v>
      </c>
    </row>
    <row r="75" spans="1:11" ht="15" customHeight="1" x14ac:dyDescent="0.25">
      <c r="A75" t="s">
        <v>184</v>
      </c>
      <c r="B75" t="s">
        <v>20</v>
      </c>
      <c r="C75">
        <v>420000</v>
      </c>
      <c r="D75">
        <v>1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3</v>
      </c>
    </row>
    <row r="76" spans="1:11" ht="15" customHeight="1" x14ac:dyDescent="0.25">
      <c r="A76" t="s">
        <v>185</v>
      </c>
      <c r="B76" t="s">
        <v>20</v>
      </c>
      <c r="C76">
        <v>450000</v>
      </c>
      <c r="D76">
        <v>0</v>
      </c>
      <c r="E76">
        <v>1</v>
      </c>
      <c r="F76">
        <v>0</v>
      </c>
      <c r="G76">
        <v>0</v>
      </c>
      <c r="H76">
        <v>1</v>
      </c>
      <c r="I76">
        <v>0</v>
      </c>
      <c r="J76">
        <v>0</v>
      </c>
      <c r="K76">
        <v>3</v>
      </c>
    </row>
    <row r="77" spans="1:11" ht="15" customHeight="1" x14ac:dyDescent="0.25">
      <c r="A77" t="s">
        <v>186</v>
      </c>
      <c r="B77" t="s">
        <v>20</v>
      </c>
      <c r="C77">
        <v>425000</v>
      </c>
      <c r="D77">
        <v>1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3</v>
      </c>
    </row>
    <row r="78" spans="1:11" ht="15" customHeight="1" x14ac:dyDescent="0.25">
      <c r="A78" t="s">
        <v>177</v>
      </c>
      <c r="B78" t="s">
        <v>20</v>
      </c>
      <c r="C78">
        <v>600000</v>
      </c>
      <c r="D78">
        <v>1</v>
      </c>
      <c r="E78">
        <v>0</v>
      </c>
      <c r="F78">
        <v>1</v>
      </c>
      <c r="G78">
        <v>0</v>
      </c>
      <c r="H78">
        <v>1</v>
      </c>
      <c r="I78">
        <v>0</v>
      </c>
      <c r="J78">
        <v>0</v>
      </c>
      <c r="K78">
        <v>2</v>
      </c>
    </row>
    <row r="79" spans="1:11" ht="15" customHeight="1" x14ac:dyDescent="0.25">
      <c r="A79" t="s">
        <v>178</v>
      </c>
      <c r="B79" t="s">
        <v>20</v>
      </c>
      <c r="C79">
        <v>575000</v>
      </c>
      <c r="D79">
        <v>1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2</v>
      </c>
    </row>
    <row r="80" spans="1:11" ht="15" customHeight="1" x14ac:dyDescent="0.25">
      <c r="A80" t="s">
        <v>179</v>
      </c>
      <c r="B80" t="s">
        <v>20</v>
      </c>
      <c r="C80">
        <v>610000</v>
      </c>
      <c r="D80">
        <v>1</v>
      </c>
      <c r="E80">
        <v>0</v>
      </c>
      <c r="F80">
        <v>1</v>
      </c>
      <c r="G80">
        <v>0</v>
      </c>
      <c r="H80">
        <v>1</v>
      </c>
      <c r="I80">
        <v>0</v>
      </c>
      <c r="J80">
        <v>0</v>
      </c>
      <c r="K80">
        <v>2</v>
      </c>
    </row>
    <row r="81" spans="1:11" ht="15" customHeight="1" x14ac:dyDescent="0.25">
      <c r="A81" t="s">
        <v>180</v>
      </c>
      <c r="B81" t="s">
        <v>20</v>
      </c>
      <c r="C81">
        <v>550000</v>
      </c>
      <c r="D81">
        <v>0</v>
      </c>
      <c r="E81">
        <v>1</v>
      </c>
      <c r="F81">
        <v>0</v>
      </c>
      <c r="G81">
        <v>0</v>
      </c>
      <c r="H81">
        <v>1</v>
      </c>
      <c r="I81">
        <v>0</v>
      </c>
      <c r="J81">
        <v>0</v>
      </c>
      <c r="K81">
        <v>2</v>
      </c>
    </row>
    <row r="82" spans="1:11" ht="15" customHeight="1" x14ac:dyDescent="0.25">
      <c r="A82" t="s">
        <v>181</v>
      </c>
      <c r="B82" t="s">
        <v>20</v>
      </c>
      <c r="C82">
        <v>580000</v>
      </c>
      <c r="D82">
        <v>1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>
        <v>2</v>
      </c>
    </row>
    <row r="83" spans="1:11" ht="15" customHeight="1" x14ac:dyDescent="0.25">
      <c r="A83" t="s">
        <v>182</v>
      </c>
      <c r="B83" t="s">
        <v>20</v>
      </c>
      <c r="C83">
        <v>600000</v>
      </c>
      <c r="D83">
        <v>1</v>
      </c>
      <c r="E83">
        <v>0</v>
      </c>
      <c r="F83">
        <v>1</v>
      </c>
      <c r="G83">
        <v>0</v>
      </c>
      <c r="H83">
        <v>1</v>
      </c>
      <c r="I83">
        <v>0</v>
      </c>
      <c r="J83">
        <v>0</v>
      </c>
      <c r="K83">
        <v>2</v>
      </c>
    </row>
    <row r="84" spans="1:11" ht="15" customHeight="1" x14ac:dyDescent="0.25">
      <c r="A84" t="s">
        <v>184</v>
      </c>
      <c r="B84" t="s">
        <v>21</v>
      </c>
      <c r="C84">
        <v>480000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4</v>
      </c>
    </row>
    <row r="85" spans="1:11" ht="15" customHeight="1" x14ac:dyDescent="0.25">
      <c r="A85" t="s">
        <v>185</v>
      </c>
      <c r="B85" t="s">
        <v>21</v>
      </c>
      <c r="C85">
        <v>477000</v>
      </c>
      <c r="D85">
        <v>0</v>
      </c>
      <c r="E85">
        <v>0</v>
      </c>
      <c r="F85">
        <v>1</v>
      </c>
      <c r="G85">
        <v>0</v>
      </c>
      <c r="H85">
        <v>0</v>
      </c>
      <c r="I85">
        <v>0</v>
      </c>
      <c r="J85">
        <v>0</v>
      </c>
      <c r="K85">
        <v>4</v>
      </c>
    </row>
    <row r="86" spans="1:11" ht="15" customHeight="1" x14ac:dyDescent="0.25">
      <c r="A86" t="s">
        <v>178</v>
      </c>
      <c r="B86" t="s">
        <v>21</v>
      </c>
      <c r="C86">
        <v>500000</v>
      </c>
      <c r="D86">
        <v>1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3</v>
      </c>
    </row>
    <row r="87" spans="1:11" ht="15" customHeight="1" x14ac:dyDescent="0.25">
      <c r="A87" t="s">
        <v>181</v>
      </c>
      <c r="B87" t="s">
        <v>21</v>
      </c>
      <c r="C87">
        <v>525000</v>
      </c>
      <c r="D87">
        <v>0</v>
      </c>
      <c r="E87">
        <v>0</v>
      </c>
      <c r="F87">
        <v>0</v>
      </c>
      <c r="G87">
        <v>1</v>
      </c>
      <c r="H87">
        <v>0</v>
      </c>
      <c r="I87">
        <v>0</v>
      </c>
      <c r="J87">
        <v>0</v>
      </c>
      <c r="K87">
        <v>3</v>
      </c>
    </row>
    <row r="88" spans="1:11" ht="15" customHeight="1" x14ac:dyDescent="0.25">
      <c r="A88" t="s">
        <v>183</v>
      </c>
      <c r="B88" t="s">
        <v>22</v>
      </c>
      <c r="C88">
        <v>1250000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4</v>
      </c>
    </row>
    <row r="89" spans="1:11" ht="15" customHeight="1" x14ac:dyDescent="0.25">
      <c r="A89" t="s">
        <v>184</v>
      </c>
      <c r="B89" t="s">
        <v>22</v>
      </c>
      <c r="C89">
        <v>1300000</v>
      </c>
      <c r="D89">
        <v>0</v>
      </c>
      <c r="E89">
        <v>0</v>
      </c>
      <c r="F89">
        <v>0</v>
      </c>
      <c r="G89">
        <v>1</v>
      </c>
      <c r="H89">
        <v>0</v>
      </c>
      <c r="I89">
        <v>0</v>
      </c>
      <c r="J89">
        <v>0</v>
      </c>
      <c r="K89">
        <v>4</v>
      </c>
    </row>
    <row r="90" spans="1:11" ht="15" customHeight="1" x14ac:dyDescent="0.25">
      <c r="A90" t="s">
        <v>185</v>
      </c>
      <c r="B90" t="s">
        <v>22</v>
      </c>
      <c r="C90">
        <v>1275000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4</v>
      </c>
    </row>
    <row r="91" spans="1:11" ht="15" customHeight="1" x14ac:dyDescent="0.25">
      <c r="A91" t="s">
        <v>186</v>
      </c>
      <c r="B91" t="s">
        <v>22</v>
      </c>
      <c r="C91">
        <v>1250000</v>
      </c>
      <c r="D91">
        <v>0</v>
      </c>
      <c r="E91">
        <v>0</v>
      </c>
      <c r="F91">
        <v>1</v>
      </c>
      <c r="G91">
        <v>0</v>
      </c>
      <c r="H91">
        <v>0</v>
      </c>
      <c r="I91">
        <v>0</v>
      </c>
      <c r="J91">
        <v>0</v>
      </c>
      <c r="K91">
        <v>4</v>
      </c>
    </row>
    <row r="92" spans="1:11" ht="15" customHeight="1" x14ac:dyDescent="0.25">
      <c r="A92" t="s">
        <v>177</v>
      </c>
      <c r="B92" t="s">
        <v>22</v>
      </c>
      <c r="C92">
        <v>1500000</v>
      </c>
      <c r="D92">
        <v>0</v>
      </c>
      <c r="E92">
        <v>1</v>
      </c>
      <c r="F92">
        <v>0</v>
      </c>
      <c r="G92">
        <v>0</v>
      </c>
      <c r="H92">
        <v>1</v>
      </c>
      <c r="I92">
        <v>0</v>
      </c>
      <c r="J92">
        <v>0</v>
      </c>
      <c r="K92">
        <v>2</v>
      </c>
    </row>
    <row r="93" spans="1:11" ht="15" customHeight="1" x14ac:dyDescent="0.25">
      <c r="A93" t="s">
        <v>178</v>
      </c>
      <c r="B93" t="s">
        <v>22</v>
      </c>
      <c r="C93">
        <v>1550000</v>
      </c>
      <c r="D93">
        <v>1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2</v>
      </c>
    </row>
    <row r="94" spans="1:11" ht="15" customHeight="1" x14ac:dyDescent="0.25">
      <c r="A94" t="s">
        <v>179</v>
      </c>
      <c r="B94" t="s">
        <v>22</v>
      </c>
      <c r="C94">
        <v>1425000</v>
      </c>
      <c r="D94">
        <v>1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2</v>
      </c>
    </row>
    <row r="95" spans="1:11" ht="15" customHeight="1" x14ac:dyDescent="0.25">
      <c r="A95" t="s">
        <v>180</v>
      </c>
      <c r="B95" t="s">
        <v>22</v>
      </c>
      <c r="C95">
        <v>1530000</v>
      </c>
      <c r="D95">
        <v>0</v>
      </c>
      <c r="E95">
        <v>1</v>
      </c>
      <c r="F95">
        <v>0</v>
      </c>
      <c r="G95">
        <v>0</v>
      </c>
      <c r="H95">
        <v>1</v>
      </c>
      <c r="I95">
        <v>0</v>
      </c>
      <c r="J95">
        <v>0</v>
      </c>
      <c r="K95">
        <v>2</v>
      </c>
    </row>
    <row r="96" spans="1:11" ht="15" customHeight="1" x14ac:dyDescent="0.25">
      <c r="A96" t="s">
        <v>181</v>
      </c>
      <c r="B96" t="s">
        <v>22</v>
      </c>
      <c r="C96">
        <v>1500000</v>
      </c>
      <c r="D96">
        <v>0</v>
      </c>
      <c r="E96">
        <v>1</v>
      </c>
      <c r="F96">
        <v>0</v>
      </c>
      <c r="G96">
        <v>0</v>
      </c>
      <c r="H96">
        <v>1</v>
      </c>
      <c r="I96">
        <v>0</v>
      </c>
      <c r="J96">
        <v>0</v>
      </c>
      <c r="K96">
        <v>2</v>
      </c>
    </row>
    <row r="97" spans="1:11" ht="15" customHeight="1" x14ac:dyDescent="0.25">
      <c r="A97" t="s">
        <v>182</v>
      </c>
      <c r="B97" t="s">
        <v>22</v>
      </c>
      <c r="C97">
        <v>1520000</v>
      </c>
      <c r="D97">
        <v>1</v>
      </c>
      <c r="E97">
        <v>0</v>
      </c>
      <c r="F97">
        <v>0</v>
      </c>
      <c r="G97">
        <v>1</v>
      </c>
      <c r="H97">
        <v>0</v>
      </c>
      <c r="I97">
        <v>0</v>
      </c>
      <c r="J97">
        <v>0</v>
      </c>
      <c r="K97">
        <v>2</v>
      </c>
    </row>
    <row r="98" spans="1:11" ht="15" customHeight="1" x14ac:dyDescent="0.25">
      <c r="A98" t="s">
        <v>184</v>
      </c>
      <c r="B98" t="s">
        <v>23</v>
      </c>
      <c r="C98">
        <v>1120000</v>
      </c>
      <c r="D98">
        <v>0</v>
      </c>
      <c r="E98">
        <v>0</v>
      </c>
      <c r="F98">
        <v>1</v>
      </c>
      <c r="G98">
        <v>0</v>
      </c>
      <c r="H98">
        <v>0</v>
      </c>
      <c r="I98">
        <v>0</v>
      </c>
      <c r="J98">
        <v>0</v>
      </c>
      <c r="K98">
        <v>4</v>
      </c>
    </row>
    <row r="99" spans="1:11" ht="15" customHeight="1" x14ac:dyDescent="0.25">
      <c r="A99" t="s">
        <v>178</v>
      </c>
      <c r="B99" t="s">
        <v>23</v>
      </c>
      <c r="C99">
        <v>1200000</v>
      </c>
      <c r="D99">
        <v>0</v>
      </c>
      <c r="E99">
        <v>0</v>
      </c>
      <c r="F99">
        <v>1</v>
      </c>
      <c r="G99">
        <v>0</v>
      </c>
      <c r="H99">
        <v>0</v>
      </c>
      <c r="I99">
        <v>0</v>
      </c>
      <c r="J99">
        <v>0</v>
      </c>
      <c r="K99">
        <v>3</v>
      </c>
    </row>
    <row r="100" spans="1:11" ht="15" customHeight="1" x14ac:dyDescent="0.25">
      <c r="A100" t="s">
        <v>180</v>
      </c>
      <c r="B100" t="s">
        <v>23</v>
      </c>
      <c r="C100">
        <v>1205000</v>
      </c>
      <c r="D100">
        <v>0</v>
      </c>
      <c r="E100">
        <v>0</v>
      </c>
      <c r="F100">
        <v>0</v>
      </c>
      <c r="G100">
        <v>1</v>
      </c>
      <c r="H100">
        <v>0</v>
      </c>
      <c r="I100">
        <v>0</v>
      </c>
      <c r="J100">
        <v>0</v>
      </c>
      <c r="K100">
        <v>3</v>
      </c>
    </row>
    <row r="101" spans="1:11" ht="15" customHeight="1" x14ac:dyDescent="0.25">
      <c r="A101" t="s">
        <v>182</v>
      </c>
      <c r="B101" t="s">
        <v>23</v>
      </c>
      <c r="C101">
        <v>1275000</v>
      </c>
      <c r="D101">
        <v>0</v>
      </c>
      <c r="E101">
        <v>0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2</v>
      </c>
    </row>
    <row r="102" spans="1:11" ht="15" customHeight="1" x14ac:dyDescent="0.25">
      <c r="A102" t="s">
        <v>183</v>
      </c>
      <c r="B102" t="s">
        <v>24</v>
      </c>
      <c r="C102">
        <v>1210000</v>
      </c>
      <c r="D102">
        <v>1</v>
      </c>
      <c r="E102">
        <v>1</v>
      </c>
      <c r="F102">
        <v>0</v>
      </c>
      <c r="G102">
        <v>0</v>
      </c>
      <c r="H102">
        <v>1</v>
      </c>
      <c r="I102">
        <v>1</v>
      </c>
      <c r="J102">
        <v>0</v>
      </c>
      <c r="K102">
        <v>2</v>
      </c>
    </row>
    <row r="103" spans="1:11" ht="15" customHeight="1" x14ac:dyDescent="0.25">
      <c r="A103" t="s">
        <v>184</v>
      </c>
      <c r="B103" t="s">
        <v>24</v>
      </c>
      <c r="C103">
        <v>1200000</v>
      </c>
      <c r="D103">
        <v>0</v>
      </c>
      <c r="E103">
        <v>1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2</v>
      </c>
    </row>
    <row r="104" spans="1:11" ht="15" customHeight="1" x14ac:dyDescent="0.25">
      <c r="A104" t="s">
        <v>185</v>
      </c>
      <c r="B104" t="s">
        <v>24</v>
      </c>
      <c r="C104">
        <v>1180000</v>
      </c>
      <c r="D104">
        <v>1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2</v>
      </c>
    </row>
    <row r="105" spans="1:11" ht="15" customHeight="1" x14ac:dyDescent="0.25">
      <c r="A105" t="s">
        <v>186</v>
      </c>
      <c r="B105" t="s">
        <v>24</v>
      </c>
      <c r="C105">
        <v>1215000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2</v>
      </c>
    </row>
    <row r="106" spans="1:11" ht="15" customHeight="1" x14ac:dyDescent="0.25">
      <c r="A106" t="s">
        <v>177</v>
      </c>
      <c r="B106" t="s">
        <v>24</v>
      </c>
      <c r="C106">
        <v>1400000</v>
      </c>
      <c r="D106">
        <v>1</v>
      </c>
      <c r="E106">
        <v>0</v>
      </c>
      <c r="F106">
        <v>1</v>
      </c>
      <c r="G106">
        <v>0</v>
      </c>
      <c r="H106">
        <v>1</v>
      </c>
      <c r="I106">
        <v>0</v>
      </c>
      <c r="J106">
        <v>0</v>
      </c>
      <c r="K106">
        <v>1</v>
      </c>
    </row>
    <row r="107" spans="1:11" ht="15" customHeight="1" x14ac:dyDescent="0.25">
      <c r="A107" t="s">
        <v>178</v>
      </c>
      <c r="B107" t="s">
        <v>24</v>
      </c>
      <c r="C107">
        <v>1350000</v>
      </c>
      <c r="D107">
        <v>1</v>
      </c>
      <c r="E107">
        <v>0</v>
      </c>
      <c r="F107">
        <v>0</v>
      </c>
      <c r="G107">
        <v>1</v>
      </c>
      <c r="H107">
        <v>0</v>
      </c>
      <c r="I107">
        <v>0</v>
      </c>
      <c r="J107">
        <v>0</v>
      </c>
      <c r="K107">
        <v>1</v>
      </c>
    </row>
    <row r="108" spans="1:11" ht="15" customHeight="1" x14ac:dyDescent="0.25">
      <c r="A108" t="s">
        <v>179</v>
      </c>
      <c r="B108" t="s">
        <v>24</v>
      </c>
      <c r="C108">
        <v>1300000</v>
      </c>
      <c r="D108">
        <v>0</v>
      </c>
      <c r="E108">
        <v>1</v>
      </c>
      <c r="F108">
        <v>0</v>
      </c>
      <c r="G108">
        <v>0</v>
      </c>
      <c r="H108">
        <v>1</v>
      </c>
      <c r="I108">
        <v>0</v>
      </c>
      <c r="J108">
        <v>0</v>
      </c>
      <c r="K108">
        <v>1</v>
      </c>
    </row>
    <row r="109" spans="1:11" ht="15" customHeight="1" x14ac:dyDescent="0.25">
      <c r="A109" t="s">
        <v>180</v>
      </c>
      <c r="B109" t="s">
        <v>24</v>
      </c>
      <c r="C109">
        <v>1350000</v>
      </c>
      <c r="D109">
        <v>0</v>
      </c>
      <c r="E109">
        <v>0</v>
      </c>
      <c r="F109">
        <v>1</v>
      </c>
      <c r="G109">
        <v>0</v>
      </c>
      <c r="H109">
        <v>0</v>
      </c>
      <c r="I109">
        <v>1</v>
      </c>
      <c r="J109">
        <v>0</v>
      </c>
      <c r="K109">
        <v>1</v>
      </c>
    </row>
    <row r="110" spans="1:11" ht="15" customHeight="1" x14ac:dyDescent="0.25">
      <c r="A110" t="s">
        <v>181</v>
      </c>
      <c r="B110" t="s">
        <v>24</v>
      </c>
      <c r="C110">
        <v>1410000</v>
      </c>
      <c r="D110">
        <v>0</v>
      </c>
      <c r="E110">
        <v>1</v>
      </c>
      <c r="F110">
        <v>0</v>
      </c>
      <c r="G110">
        <v>1</v>
      </c>
      <c r="H110">
        <v>0</v>
      </c>
      <c r="I110">
        <v>1</v>
      </c>
      <c r="J110">
        <v>0</v>
      </c>
      <c r="K110">
        <v>1</v>
      </c>
    </row>
    <row r="111" spans="1:11" ht="15" customHeight="1" x14ac:dyDescent="0.25">
      <c r="A111" t="s">
        <v>182</v>
      </c>
      <c r="B111" t="s">
        <v>24</v>
      </c>
      <c r="C111">
        <v>1425000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</v>
      </c>
      <c r="J111">
        <v>0</v>
      </c>
      <c r="K111">
        <v>1</v>
      </c>
    </row>
    <row r="112" spans="1:11" ht="15" customHeight="1" x14ac:dyDescent="0.25">
      <c r="A112" t="s">
        <v>183</v>
      </c>
      <c r="B112" t="s">
        <v>25</v>
      </c>
      <c r="C112">
        <v>1000000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</v>
      </c>
    </row>
    <row r="113" spans="1:11" ht="15" customHeight="1" x14ac:dyDescent="0.25">
      <c r="A113" t="s">
        <v>184</v>
      </c>
      <c r="B113" t="s">
        <v>25</v>
      </c>
      <c r="C113">
        <v>1000000</v>
      </c>
      <c r="D113">
        <v>0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</v>
      </c>
    </row>
    <row r="114" spans="1:11" ht="15" customHeight="1" x14ac:dyDescent="0.25">
      <c r="A114" t="s">
        <v>185</v>
      </c>
      <c r="B114" t="s">
        <v>25</v>
      </c>
      <c r="C114">
        <v>1010000</v>
      </c>
      <c r="D114">
        <v>0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3</v>
      </c>
    </row>
    <row r="115" spans="1:11" ht="15" customHeight="1" x14ac:dyDescent="0.25">
      <c r="A115" t="s">
        <v>186</v>
      </c>
      <c r="B115" t="s">
        <v>25</v>
      </c>
      <c r="C115">
        <v>1015000</v>
      </c>
      <c r="D115">
        <v>0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3</v>
      </c>
    </row>
    <row r="116" spans="1:11" ht="15" customHeight="1" x14ac:dyDescent="0.25">
      <c r="A116" t="s">
        <v>177</v>
      </c>
      <c r="B116" t="s">
        <v>25</v>
      </c>
      <c r="C116">
        <v>1200000</v>
      </c>
      <c r="D116">
        <v>1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</v>
      </c>
    </row>
    <row r="117" spans="1:11" ht="15" customHeight="1" x14ac:dyDescent="0.25">
      <c r="A117" t="s">
        <v>178</v>
      </c>
      <c r="B117" t="s">
        <v>25</v>
      </c>
      <c r="C117">
        <v>1100000</v>
      </c>
      <c r="D117">
        <v>1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>
        <v>4</v>
      </c>
    </row>
    <row r="118" spans="1:11" ht="15" customHeight="1" x14ac:dyDescent="0.25">
      <c r="A118" t="s">
        <v>179</v>
      </c>
      <c r="B118" t="s">
        <v>25</v>
      </c>
      <c r="C118">
        <v>1180000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2</v>
      </c>
    </row>
    <row r="119" spans="1:11" ht="15" customHeight="1" x14ac:dyDescent="0.25">
      <c r="A119" t="s">
        <v>180</v>
      </c>
      <c r="B119" t="s">
        <v>25</v>
      </c>
      <c r="C119">
        <v>1210000</v>
      </c>
      <c r="D119">
        <v>0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3</v>
      </c>
    </row>
    <row r="120" spans="1:11" ht="15" customHeight="1" x14ac:dyDescent="0.25">
      <c r="A120" t="s">
        <v>181</v>
      </c>
      <c r="B120" t="s">
        <v>25</v>
      </c>
      <c r="C120">
        <v>1190000</v>
      </c>
      <c r="D120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>
        <v>3</v>
      </c>
    </row>
    <row r="121" spans="1:11" ht="15" customHeight="1" x14ac:dyDescent="0.25">
      <c r="A121" t="s">
        <v>182</v>
      </c>
      <c r="B121" t="s">
        <v>25</v>
      </c>
      <c r="C121">
        <v>1210000</v>
      </c>
      <c r="D121">
        <v>1</v>
      </c>
      <c r="E121">
        <v>0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2</v>
      </c>
    </row>
    <row r="122" spans="1:11" ht="15" customHeight="1" x14ac:dyDescent="0.25">
      <c r="A122" t="s">
        <v>185</v>
      </c>
      <c r="B122" t="s">
        <v>26</v>
      </c>
      <c r="C122">
        <v>850000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0</v>
      </c>
      <c r="K122">
        <v>2</v>
      </c>
    </row>
    <row r="123" spans="1:11" ht="15" customHeight="1" x14ac:dyDescent="0.25">
      <c r="A123" t="s">
        <v>182</v>
      </c>
      <c r="B123" t="s">
        <v>26</v>
      </c>
      <c r="C123">
        <v>1200000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0</v>
      </c>
      <c r="K123">
        <v>5</v>
      </c>
    </row>
    <row r="124" spans="1:11" ht="15" customHeight="1" x14ac:dyDescent="0.25">
      <c r="A124" t="s">
        <v>183</v>
      </c>
      <c r="B124" t="s">
        <v>27</v>
      </c>
      <c r="C124">
        <v>1225000</v>
      </c>
      <c r="D124">
        <v>1</v>
      </c>
      <c r="E124">
        <v>0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4</v>
      </c>
    </row>
    <row r="125" spans="1:11" ht="15" customHeight="1" x14ac:dyDescent="0.25">
      <c r="A125" t="s">
        <v>184</v>
      </c>
      <c r="B125" t="s">
        <v>27</v>
      </c>
      <c r="C125">
        <v>1250000</v>
      </c>
      <c r="D125">
        <v>0</v>
      </c>
      <c r="E125">
        <v>1</v>
      </c>
      <c r="F125">
        <v>0</v>
      </c>
      <c r="G125">
        <v>0</v>
      </c>
      <c r="H125">
        <v>1</v>
      </c>
      <c r="I125">
        <v>0</v>
      </c>
      <c r="J125">
        <v>0</v>
      </c>
      <c r="K125">
        <v>4</v>
      </c>
    </row>
    <row r="126" spans="1:11" ht="15" customHeight="1" x14ac:dyDescent="0.25">
      <c r="A126" t="s">
        <v>185</v>
      </c>
      <c r="B126" t="s">
        <v>27</v>
      </c>
      <c r="C126">
        <v>1215000</v>
      </c>
      <c r="D126">
        <v>1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4</v>
      </c>
    </row>
    <row r="127" spans="1:11" ht="15" customHeight="1" x14ac:dyDescent="0.25">
      <c r="A127" t="s">
        <v>186</v>
      </c>
      <c r="B127" t="s">
        <v>27</v>
      </c>
      <c r="C127">
        <v>1230000</v>
      </c>
      <c r="D127">
        <v>0</v>
      </c>
      <c r="E127">
        <v>1</v>
      </c>
      <c r="F127">
        <v>0</v>
      </c>
      <c r="G127">
        <v>0</v>
      </c>
      <c r="H127">
        <v>1</v>
      </c>
      <c r="I127">
        <v>0</v>
      </c>
      <c r="J127">
        <v>0</v>
      </c>
      <c r="K127">
        <v>4</v>
      </c>
    </row>
    <row r="128" spans="1:11" ht="15" customHeight="1" x14ac:dyDescent="0.25">
      <c r="A128" t="s">
        <v>177</v>
      </c>
      <c r="B128" t="s">
        <v>27</v>
      </c>
      <c r="C128">
        <v>1505000</v>
      </c>
      <c r="D128">
        <v>1</v>
      </c>
      <c r="E128">
        <v>0</v>
      </c>
      <c r="F128">
        <v>0</v>
      </c>
      <c r="G128">
        <v>1</v>
      </c>
      <c r="H128">
        <v>0</v>
      </c>
      <c r="I128">
        <v>0</v>
      </c>
      <c r="J128">
        <v>0</v>
      </c>
      <c r="K128">
        <v>3</v>
      </c>
    </row>
    <row r="129" spans="1:11" ht="15" customHeight="1" x14ac:dyDescent="0.25">
      <c r="A129" t="s">
        <v>178</v>
      </c>
      <c r="B129" t="s">
        <v>27</v>
      </c>
      <c r="C129">
        <v>1520000</v>
      </c>
      <c r="D129">
        <v>0</v>
      </c>
      <c r="E129">
        <v>1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3</v>
      </c>
    </row>
    <row r="130" spans="1:11" ht="15" customHeight="1" x14ac:dyDescent="0.25">
      <c r="A130" t="s">
        <v>181</v>
      </c>
      <c r="B130" t="s">
        <v>27</v>
      </c>
      <c r="C130">
        <v>1530000</v>
      </c>
      <c r="D130">
        <v>0</v>
      </c>
      <c r="E130">
        <v>1</v>
      </c>
      <c r="F130">
        <v>0</v>
      </c>
      <c r="G130">
        <v>0</v>
      </c>
      <c r="H130">
        <v>1</v>
      </c>
      <c r="I130">
        <v>0</v>
      </c>
      <c r="J130">
        <v>0</v>
      </c>
      <c r="K130">
        <v>2</v>
      </c>
    </row>
    <row r="131" spans="1:11" ht="15" customHeight="1" x14ac:dyDescent="0.25">
      <c r="A131" t="s">
        <v>182</v>
      </c>
      <c r="B131" t="s">
        <v>27</v>
      </c>
      <c r="C131">
        <v>1530000</v>
      </c>
      <c r="D131">
        <v>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2</v>
      </c>
    </row>
    <row r="132" spans="1:11" ht="15" customHeight="1" x14ac:dyDescent="0.25">
      <c r="A132" t="s">
        <v>183</v>
      </c>
      <c r="B132" t="s">
        <v>28</v>
      </c>
      <c r="C132">
        <v>1230000</v>
      </c>
      <c r="D132">
        <v>1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4</v>
      </c>
    </row>
    <row r="133" spans="1:11" ht="15" customHeight="1" x14ac:dyDescent="0.25">
      <c r="A133" t="s">
        <v>184</v>
      </c>
      <c r="B133" t="s">
        <v>28</v>
      </c>
      <c r="C133">
        <v>1250000</v>
      </c>
      <c r="D133">
        <v>0</v>
      </c>
      <c r="E133">
        <v>1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4</v>
      </c>
    </row>
    <row r="134" spans="1:11" ht="15" customHeight="1" x14ac:dyDescent="0.25">
      <c r="A134" t="s">
        <v>185</v>
      </c>
      <c r="B134" t="s">
        <v>28</v>
      </c>
      <c r="C134">
        <v>1220000</v>
      </c>
      <c r="D134">
        <v>1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4</v>
      </c>
    </row>
    <row r="135" spans="1:11" ht="15" customHeight="1" x14ac:dyDescent="0.25">
      <c r="A135" t="s">
        <v>186</v>
      </c>
      <c r="B135" t="s">
        <v>28</v>
      </c>
      <c r="C135">
        <v>1230000</v>
      </c>
      <c r="D135">
        <v>0</v>
      </c>
      <c r="E135">
        <v>1</v>
      </c>
      <c r="F135">
        <v>0</v>
      </c>
      <c r="G135">
        <v>0</v>
      </c>
      <c r="H135">
        <v>1</v>
      </c>
      <c r="I135">
        <v>0</v>
      </c>
      <c r="J135">
        <v>0</v>
      </c>
      <c r="K135">
        <v>4</v>
      </c>
    </row>
    <row r="136" spans="1:11" ht="15" customHeight="1" x14ac:dyDescent="0.25">
      <c r="A136" t="s">
        <v>177</v>
      </c>
      <c r="B136" t="s">
        <v>28</v>
      </c>
      <c r="C136">
        <v>1510000</v>
      </c>
      <c r="D136">
        <v>1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>
        <v>3</v>
      </c>
    </row>
    <row r="137" spans="1:11" ht="15" customHeight="1" x14ac:dyDescent="0.25">
      <c r="A137" t="s">
        <v>178</v>
      </c>
      <c r="B137" t="s">
        <v>28</v>
      </c>
      <c r="C137">
        <v>1525000</v>
      </c>
      <c r="D137">
        <v>0</v>
      </c>
      <c r="E137">
        <v>1</v>
      </c>
      <c r="F137">
        <v>0</v>
      </c>
      <c r="G137">
        <v>0</v>
      </c>
      <c r="H137">
        <v>1</v>
      </c>
      <c r="I137">
        <v>0</v>
      </c>
      <c r="J137">
        <v>0</v>
      </c>
      <c r="K137">
        <v>3</v>
      </c>
    </row>
    <row r="138" spans="1:11" ht="15" customHeight="1" x14ac:dyDescent="0.25">
      <c r="A138" t="s">
        <v>181</v>
      </c>
      <c r="B138" t="s">
        <v>28</v>
      </c>
      <c r="C138">
        <v>1535000</v>
      </c>
      <c r="D138">
        <v>0</v>
      </c>
      <c r="E138">
        <v>1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2</v>
      </c>
    </row>
    <row r="139" spans="1:11" ht="15" customHeight="1" x14ac:dyDescent="0.25">
      <c r="A139" t="s">
        <v>182</v>
      </c>
      <c r="B139" t="s">
        <v>28</v>
      </c>
      <c r="C139">
        <v>1530000</v>
      </c>
      <c r="D139">
        <v>1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2</v>
      </c>
    </row>
    <row r="140" spans="1:11" ht="15" customHeight="1" x14ac:dyDescent="0.25">
      <c r="A140" t="s">
        <v>183</v>
      </c>
      <c r="B140" t="s">
        <v>29</v>
      </c>
      <c r="C140">
        <v>925000</v>
      </c>
      <c r="D140">
        <v>1</v>
      </c>
      <c r="E140">
        <v>0</v>
      </c>
      <c r="F140">
        <v>1</v>
      </c>
      <c r="G140">
        <v>0</v>
      </c>
      <c r="H140">
        <v>1</v>
      </c>
      <c r="I140">
        <v>0</v>
      </c>
      <c r="J140">
        <v>0</v>
      </c>
      <c r="K140">
        <v>2</v>
      </c>
    </row>
    <row r="141" spans="1:11" ht="15" customHeight="1" x14ac:dyDescent="0.25">
      <c r="A141" t="s">
        <v>186</v>
      </c>
      <c r="B141" t="s">
        <v>29</v>
      </c>
      <c r="C141">
        <v>900000</v>
      </c>
      <c r="D141">
        <v>0</v>
      </c>
      <c r="E141">
        <v>1</v>
      </c>
      <c r="F141">
        <v>0</v>
      </c>
      <c r="G141">
        <v>0</v>
      </c>
      <c r="H141">
        <v>1</v>
      </c>
      <c r="I141">
        <v>0</v>
      </c>
      <c r="J141">
        <v>0</v>
      </c>
      <c r="K141">
        <v>2</v>
      </c>
    </row>
    <row r="142" spans="1:11" ht="15" customHeight="1" x14ac:dyDescent="0.25">
      <c r="A142" t="s">
        <v>177</v>
      </c>
      <c r="B142" t="s">
        <v>29</v>
      </c>
      <c r="C142">
        <v>1315000</v>
      </c>
      <c r="D142">
        <v>1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2</v>
      </c>
    </row>
    <row r="143" spans="1:11" ht="15" customHeight="1" x14ac:dyDescent="0.25">
      <c r="A143" t="s">
        <v>180</v>
      </c>
      <c r="B143" t="s">
        <v>29</v>
      </c>
      <c r="C143">
        <v>1400000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</v>
      </c>
      <c r="J143">
        <v>0</v>
      </c>
      <c r="K143">
        <v>2</v>
      </c>
    </row>
    <row r="144" spans="1:11" ht="15" customHeight="1" x14ac:dyDescent="0.25">
      <c r="A144" t="s">
        <v>182</v>
      </c>
      <c r="B144" t="s">
        <v>29</v>
      </c>
      <c r="C144">
        <v>1350000</v>
      </c>
      <c r="D144">
        <v>1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2</v>
      </c>
    </row>
    <row r="145" spans="1:11" ht="15" customHeight="1" x14ac:dyDescent="0.25">
      <c r="A145" t="s">
        <v>183</v>
      </c>
      <c r="B145" t="s">
        <v>30</v>
      </c>
      <c r="C145">
        <v>600000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0</v>
      </c>
      <c r="K145">
        <v>2</v>
      </c>
    </row>
    <row r="146" spans="1:11" ht="15" customHeight="1" x14ac:dyDescent="0.25">
      <c r="A146" t="s">
        <v>184</v>
      </c>
      <c r="B146" t="s">
        <v>30</v>
      </c>
      <c r="C146">
        <v>615000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0</v>
      </c>
      <c r="K146">
        <v>2</v>
      </c>
    </row>
    <row r="147" spans="1:11" ht="15" customHeight="1" x14ac:dyDescent="0.25">
      <c r="A147" t="s">
        <v>185</v>
      </c>
      <c r="B147" t="s">
        <v>30</v>
      </c>
      <c r="C147">
        <v>600000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0</v>
      </c>
      <c r="K147">
        <v>2</v>
      </c>
    </row>
    <row r="148" spans="1:11" ht="15" customHeight="1" x14ac:dyDescent="0.25">
      <c r="A148" t="s">
        <v>186</v>
      </c>
      <c r="B148" t="s">
        <v>30</v>
      </c>
      <c r="C148">
        <v>610000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0</v>
      </c>
      <c r="K148">
        <v>2</v>
      </c>
    </row>
    <row r="149" spans="1:11" ht="15" customHeight="1" x14ac:dyDescent="0.25">
      <c r="A149" t="s">
        <v>177</v>
      </c>
      <c r="B149" t="s">
        <v>30</v>
      </c>
      <c r="C149">
        <v>825000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0</v>
      </c>
      <c r="J149">
        <v>0</v>
      </c>
      <c r="K149">
        <v>1</v>
      </c>
    </row>
    <row r="150" spans="1:11" ht="15" customHeight="1" x14ac:dyDescent="0.25">
      <c r="A150" t="s">
        <v>178</v>
      </c>
      <c r="B150" t="s">
        <v>30</v>
      </c>
      <c r="C150">
        <v>800000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0</v>
      </c>
      <c r="J150">
        <v>0</v>
      </c>
      <c r="K150">
        <v>1</v>
      </c>
    </row>
    <row r="151" spans="1:11" ht="15" customHeight="1" x14ac:dyDescent="0.25">
      <c r="A151" t="s">
        <v>179</v>
      </c>
      <c r="B151" t="s">
        <v>30</v>
      </c>
      <c r="C151">
        <v>815000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0</v>
      </c>
      <c r="J151">
        <v>0</v>
      </c>
      <c r="K151">
        <v>1</v>
      </c>
    </row>
    <row r="152" spans="1:11" ht="15" customHeight="1" x14ac:dyDescent="0.25">
      <c r="A152" t="s">
        <v>180</v>
      </c>
      <c r="B152" t="s">
        <v>30</v>
      </c>
      <c r="C152">
        <v>820000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0</v>
      </c>
      <c r="J152">
        <v>0</v>
      </c>
      <c r="K152">
        <v>1</v>
      </c>
    </row>
    <row r="153" spans="1:11" ht="15" customHeight="1" x14ac:dyDescent="0.25">
      <c r="A153" t="s">
        <v>181</v>
      </c>
      <c r="B153" t="s">
        <v>30</v>
      </c>
      <c r="C153">
        <v>850000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>
        <v>0</v>
      </c>
      <c r="K153">
        <v>1</v>
      </c>
    </row>
    <row r="154" spans="1:11" ht="15" customHeight="1" x14ac:dyDescent="0.25">
      <c r="A154" t="s">
        <v>182</v>
      </c>
      <c r="B154" t="s">
        <v>30</v>
      </c>
      <c r="C154">
        <v>825000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>
        <v>0</v>
      </c>
      <c r="K154">
        <v>1</v>
      </c>
    </row>
    <row r="155" spans="1:11" ht="15" customHeight="1" x14ac:dyDescent="0.25">
      <c r="A155" t="s">
        <v>183</v>
      </c>
      <c r="B155" t="s">
        <v>31</v>
      </c>
      <c r="C155">
        <v>600000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0</v>
      </c>
      <c r="K155">
        <v>2</v>
      </c>
    </row>
    <row r="156" spans="1:11" ht="15" customHeight="1" x14ac:dyDescent="0.25">
      <c r="A156" t="s">
        <v>184</v>
      </c>
      <c r="B156" t="s">
        <v>31</v>
      </c>
      <c r="C156">
        <v>615000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0</v>
      </c>
      <c r="K156">
        <v>2</v>
      </c>
    </row>
    <row r="157" spans="1:11" ht="15" customHeight="1" x14ac:dyDescent="0.25">
      <c r="A157" t="s">
        <v>185</v>
      </c>
      <c r="B157" t="s">
        <v>31</v>
      </c>
      <c r="C157">
        <v>600000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0</v>
      </c>
      <c r="K157">
        <v>2</v>
      </c>
    </row>
    <row r="158" spans="1:11" ht="15" customHeight="1" x14ac:dyDescent="0.25">
      <c r="A158" t="s">
        <v>186</v>
      </c>
      <c r="B158" t="s">
        <v>31</v>
      </c>
      <c r="C158">
        <v>610000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0</v>
      </c>
      <c r="K158">
        <v>2</v>
      </c>
    </row>
    <row r="159" spans="1:11" ht="15" customHeight="1" x14ac:dyDescent="0.25">
      <c r="A159" t="s">
        <v>177</v>
      </c>
      <c r="B159" t="s">
        <v>31</v>
      </c>
      <c r="C159">
        <v>825000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0</v>
      </c>
      <c r="J159">
        <v>0</v>
      </c>
      <c r="K159">
        <v>1</v>
      </c>
    </row>
    <row r="160" spans="1:11" ht="15" customHeight="1" x14ac:dyDescent="0.25">
      <c r="A160" t="s">
        <v>178</v>
      </c>
      <c r="B160" t="s">
        <v>31</v>
      </c>
      <c r="C160">
        <v>800000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0</v>
      </c>
      <c r="J160">
        <v>0</v>
      </c>
      <c r="K160">
        <v>1</v>
      </c>
    </row>
    <row r="161" spans="1:11" ht="15" customHeight="1" x14ac:dyDescent="0.25">
      <c r="A161" t="s">
        <v>179</v>
      </c>
      <c r="B161" t="s">
        <v>31</v>
      </c>
      <c r="C161">
        <v>815000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0</v>
      </c>
      <c r="J161">
        <v>0</v>
      </c>
      <c r="K161">
        <v>1</v>
      </c>
    </row>
    <row r="162" spans="1:11" ht="15" customHeight="1" x14ac:dyDescent="0.25">
      <c r="A162" t="s">
        <v>180</v>
      </c>
      <c r="B162" t="s">
        <v>31</v>
      </c>
      <c r="C162">
        <v>820000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0</v>
      </c>
      <c r="J162">
        <v>0</v>
      </c>
      <c r="K162">
        <v>1</v>
      </c>
    </row>
    <row r="163" spans="1:11" ht="15" customHeight="1" x14ac:dyDescent="0.25">
      <c r="A163" t="s">
        <v>181</v>
      </c>
      <c r="B163" t="s">
        <v>31</v>
      </c>
      <c r="C163">
        <v>850000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0</v>
      </c>
      <c r="J163">
        <v>0</v>
      </c>
      <c r="K163">
        <v>1</v>
      </c>
    </row>
    <row r="164" spans="1:11" ht="15" customHeight="1" x14ac:dyDescent="0.25">
      <c r="A164" t="s">
        <v>182</v>
      </c>
      <c r="B164" t="s">
        <v>31</v>
      </c>
      <c r="C164">
        <v>825000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0</v>
      </c>
      <c r="J164">
        <v>0</v>
      </c>
      <c r="K164">
        <v>1</v>
      </c>
    </row>
    <row r="165" spans="1:11" ht="15" customHeight="1" x14ac:dyDescent="0.25">
      <c r="A165" t="s">
        <v>183</v>
      </c>
      <c r="B165" t="s">
        <v>32</v>
      </c>
      <c r="C165">
        <v>915000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</v>
      </c>
      <c r="J165">
        <v>0</v>
      </c>
      <c r="K165">
        <v>3</v>
      </c>
    </row>
    <row r="166" spans="1:11" ht="15" customHeight="1" x14ac:dyDescent="0.25">
      <c r="A166" t="s">
        <v>184</v>
      </c>
      <c r="B166" t="s">
        <v>32</v>
      </c>
      <c r="C166">
        <v>920000</v>
      </c>
      <c r="D166">
        <v>0</v>
      </c>
      <c r="E166">
        <v>1</v>
      </c>
      <c r="F166">
        <v>0</v>
      </c>
      <c r="G166">
        <v>0</v>
      </c>
      <c r="H166">
        <v>1</v>
      </c>
      <c r="I166">
        <v>0</v>
      </c>
      <c r="J166">
        <v>0</v>
      </c>
      <c r="K166">
        <v>3</v>
      </c>
    </row>
    <row r="167" spans="1:11" ht="15" customHeight="1" x14ac:dyDescent="0.25">
      <c r="A167" t="s">
        <v>185</v>
      </c>
      <c r="B167" t="s">
        <v>32</v>
      </c>
      <c r="C167">
        <v>900000</v>
      </c>
      <c r="D167">
        <v>1</v>
      </c>
      <c r="E167">
        <v>0</v>
      </c>
      <c r="F167">
        <v>0</v>
      </c>
      <c r="G167">
        <v>1</v>
      </c>
      <c r="H167">
        <v>0</v>
      </c>
      <c r="I167">
        <v>0</v>
      </c>
      <c r="J167">
        <v>0</v>
      </c>
      <c r="K167">
        <v>3</v>
      </c>
    </row>
    <row r="168" spans="1:11" ht="15" customHeight="1" x14ac:dyDescent="0.25">
      <c r="A168" t="s">
        <v>186</v>
      </c>
      <c r="B168" t="s">
        <v>32</v>
      </c>
      <c r="C168">
        <v>910000</v>
      </c>
      <c r="D168">
        <v>1</v>
      </c>
      <c r="E168">
        <v>0</v>
      </c>
      <c r="F168">
        <v>0</v>
      </c>
      <c r="G168">
        <v>1</v>
      </c>
      <c r="H168">
        <v>0</v>
      </c>
      <c r="I168">
        <v>0</v>
      </c>
      <c r="J168">
        <v>0</v>
      </c>
      <c r="K168">
        <v>3</v>
      </c>
    </row>
    <row r="169" spans="1:11" ht="15" customHeight="1" x14ac:dyDescent="0.25">
      <c r="A169" t="s">
        <v>177</v>
      </c>
      <c r="B169" t="s">
        <v>32</v>
      </c>
      <c r="C169">
        <v>1320000</v>
      </c>
      <c r="D169">
        <v>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0</v>
      </c>
      <c r="K169">
        <v>2</v>
      </c>
    </row>
    <row r="170" spans="1:11" ht="15" customHeight="1" x14ac:dyDescent="0.25">
      <c r="A170" t="s">
        <v>178</v>
      </c>
      <c r="B170" t="s">
        <v>32</v>
      </c>
      <c r="C170">
        <v>1300000</v>
      </c>
      <c r="D170">
        <v>0</v>
      </c>
      <c r="E170">
        <v>0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2</v>
      </c>
    </row>
    <row r="171" spans="1:11" ht="15" customHeight="1" x14ac:dyDescent="0.25">
      <c r="A171" t="s">
        <v>179</v>
      </c>
      <c r="B171" t="s">
        <v>32</v>
      </c>
      <c r="C171">
        <v>1200000</v>
      </c>
      <c r="D171">
        <v>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</v>
      </c>
    </row>
    <row r="172" spans="1:11" ht="15" customHeight="1" x14ac:dyDescent="0.25">
      <c r="A172" t="s">
        <v>180</v>
      </c>
      <c r="B172" t="s">
        <v>32</v>
      </c>
      <c r="C172">
        <v>1340000</v>
      </c>
      <c r="D172">
        <v>0</v>
      </c>
      <c r="E172">
        <v>1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2</v>
      </c>
    </row>
    <row r="173" spans="1:11" ht="15" customHeight="1" x14ac:dyDescent="0.25">
      <c r="A173" t="s">
        <v>181</v>
      </c>
      <c r="B173" t="s">
        <v>32</v>
      </c>
      <c r="C173">
        <v>1335000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2</v>
      </c>
    </row>
    <row r="174" spans="1:11" ht="15" customHeight="1" x14ac:dyDescent="0.25">
      <c r="A174" t="s">
        <v>182</v>
      </c>
      <c r="B174" t="s">
        <v>32</v>
      </c>
      <c r="C174">
        <v>1400000</v>
      </c>
      <c r="D174">
        <v>1</v>
      </c>
      <c r="E174">
        <v>0</v>
      </c>
      <c r="F174">
        <v>1</v>
      </c>
      <c r="G174">
        <v>0</v>
      </c>
      <c r="H174">
        <v>1</v>
      </c>
      <c r="I174">
        <v>0</v>
      </c>
      <c r="J174">
        <v>0</v>
      </c>
      <c r="K174">
        <v>2</v>
      </c>
    </row>
    <row r="175" spans="1:11" ht="15" customHeight="1" x14ac:dyDescent="0.25">
      <c r="A175" t="s">
        <v>183</v>
      </c>
      <c r="B175" t="s">
        <v>33</v>
      </c>
      <c r="C175">
        <v>1230000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0</v>
      </c>
      <c r="J175">
        <v>0</v>
      </c>
      <c r="K175">
        <v>3</v>
      </c>
    </row>
    <row r="176" spans="1:11" ht="15" customHeight="1" x14ac:dyDescent="0.25">
      <c r="A176" t="s">
        <v>185</v>
      </c>
      <c r="B176" t="s">
        <v>33</v>
      </c>
      <c r="C176">
        <v>1220000</v>
      </c>
      <c r="D176">
        <v>1</v>
      </c>
      <c r="E176">
        <v>0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3</v>
      </c>
    </row>
    <row r="177" spans="1:11" ht="15" customHeight="1" x14ac:dyDescent="0.25">
      <c r="A177" t="s">
        <v>178</v>
      </c>
      <c r="B177" t="s">
        <v>33</v>
      </c>
      <c r="C177">
        <v>1350000</v>
      </c>
      <c r="D177">
        <v>0</v>
      </c>
      <c r="E177">
        <v>0</v>
      </c>
      <c r="F177">
        <v>1</v>
      </c>
      <c r="G177">
        <v>0</v>
      </c>
      <c r="H177">
        <v>0</v>
      </c>
      <c r="I177">
        <v>0</v>
      </c>
      <c r="J177">
        <v>0</v>
      </c>
      <c r="K177">
        <v>5</v>
      </c>
    </row>
    <row r="178" spans="1:11" ht="15" customHeight="1" x14ac:dyDescent="0.25">
      <c r="A178" t="s">
        <v>182</v>
      </c>
      <c r="B178" t="s">
        <v>33</v>
      </c>
      <c r="C178">
        <v>1400000</v>
      </c>
      <c r="D178">
        <v>0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4</v>
      </c>
    </row>
    <row r="179" spans="1:11" ht="15" customHeight="1" x14ac:dyDescent="0.25">
      <c r="A179" t="s">
        <v>184</v>
      </c>
      <c r="B179" t="s">
        <v>34</v>
      </c>
      <c r="C179">
        <v>1000000</v>
      </c>
      <c r="D179">
        <v>0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12</v>
      </c>
    </row>
    <row r="180" spans="1:11" ht="15" customHeight="1" x14ac:dyDescent="0.25">
      <c r="A180" t="s">
        <v>182</v>
      </c>
      <c r="B180" t="s">
        <v>34</v>
      </c>
      <c r="C180">
        <v>1500000</v>
      </c>
      <c r="D180">
        <v>0</v>
      </c>
      <c r="E180">
        <v>0</v>
      </c>
      <c r="F180">
        <v>1</v>
      </c>
      <c r="G180">
        <v>0</v>
      </c>
      <c r="H180">
        <v>0</v>
      </c>
      <c r="I180">
        <v>0</v>
      </c>
      <c r="J180">
        <v>0</v>
      </c>
      <c r="K180">
        <v>7</v>
      </c>
    </row>
    <row r="181" spans="1:11" ht="15" customHeight="1" x14ac:dyDescent="0.25">
      <c r="A181" t="s">
        <v>184</v>
      </c>
      <c r="B181" t="s">
        <v>35</v>
      </c>
      <c r="C181">
        <v>1000000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12</v>
      </c>
    </row>
    <row r="182" spans="1:11" ht="15" customHeight="1" x14ac:dyDescent="0.25">
      <c r="A182" t="s">
        <v>182</v>
      </c>
      <c r="B182" t="s">
        <v>35</v>
      </c>
      <c r="C182">
        <v>1500000</v>
      </c>
      <c r="D182">
        <v>0</v>
      </c>
      <c r="E182">
        <v>0</v>
      </c>
      <c r="F182">
        <v>1</v>
      </c>
      <c r="G182">
        <v>0</v>
      </c>
      <c r="H182">
        <v>0</v>
      </c>
      <c r="I182">
        <v>0</v>
      </c>
      <c r="J182">
        <v>0</v>
      </c>
      <c r="K182">
        <v>7</v>
      </c>
    </row>
    <row r="183" spans="1:11" ht="15" customHeight="1" x14ac:dyDescent="0.25">
      <c r="A183" t="s">
        <v>183</v>
      </c>
      <c r="B183" t="s">
        <v>36</v>
      </c>
      <c r="C183">
        <v>1000000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0</v>
      </c>
      <c r="J183">
        <v>0</v>
      </c>
      <c r="K183">
        <v>7</v>
      </c>
    </row>
    <row r="184" spans="1:11" ht="15" customHeight="1" x14ac:dyDescent="0.25">
      <c r="A184" t="s">
        <v>184</v>
      </c>
      <c r="B184" t="s">
        <v>36</v>
      </c>
      <c r="C184">
        <v>1100000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0</v>
      </c>
      <c r="J184">
        <v>0</v>
      </c>
      <c r="K184">
        <v>7</v>
      </c>
    </row>
    <row r="185" spans="1:11" ht="15" customHeight="1" x14ac:dyDescent="0.25">
      <c r="A185" t="s">
        <v>182</v>
      </c>
      <c r="B185" t="s">
        <v>36</v>
      </c>
      <c r="C185">
        <v>1500000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</v>
      </c>
      <c r="J185">
        <v>0</v>
      </c>
      <c r="K185">
        <v>4</v>
      </c>
    </row>
    <row r="186" spans="1:11" ht="15" customHeight="1" x14ac:dyDescent="0.25">
      <c r="A186" t="s">
        <v>183</v>
      </c>
      <c r="B186" t="s">
        <v>37</v>
      </c>
      <c r="C186">
        <v>535000</v>
      </c>
      <c r="D186">
        <v>1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>
        <v>3</v>
      </c>
    </row>
    <row r="187" spans="1:11" ht="15" customHeight="1" x14ac:dyDescent="0.25">
      <c r="A187" t="s">
        <v>184</v>
      </c>
      <c r="B187" t="s">
        <v>37</v>
      </c>
      <c r="C187">
        <v>500000</v>
      </c>
      <c r="D187">
        <v>1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4</v>
      </c>
    </row>
    <row r="188" spans="1:11" ht="15" customHeight="1" x14ac:dyDescent="0.25">
      <c r="A188" t="s">
        <v>185</v>
      </c>
      <c r="B188" t="s">
        <v>37</v>
      </c>
      <c r="C188">
        <v>525000</v>
      </c>
      <c r="D188">
        <v>1</v>
      </c>
      <c r="E188">
        <v>0</v>
      </c>
      <c r="F188">
        <v>1</v>
      </c>
      <c r="G188">
        <v>0</v>
      </c>
      <c r="H188">
        <v>1</v>
      </c>
      <c r="I188">
        <v>0</v>
      </c>
      <c r="J188">
        <v>0</v>
      </c>
      <c r="K188">
        <v>4</v>
      </c>
    </row>
    <row r="189" spans="1:11" ht="15" customHeight="1" x14ac:dyDescent="0.25">
      <c r="A189" t="s">
        <v>177</v>
      </c>
      <c r="B189" t="s">
        <v>37</v>
      </c>
      <c r="C189">
        <v>700000</v>
      </c>
      <c r="D189">
        <v>0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3</v>
      </c>
    </row>
    <row r="190" spans="1:11" ht="15" customHeight="1" x14ac:dyDescent="0.25">
      <c r="A190" t="s">
        <v>179</v>
      </c>
      <c r="B190" t="s">
        <v>37</v>
      </c>
      <c r="C190">
        <v>720000</v>
      </c>
      <c r="D190">
        <v>0</v>
      </c>
      <c r="E190">
        <v>0</v>
      </c>
      <c r="F190">
        <v>1</v>
      </c>
      <c r="G190">
        <v>0</v>
      </c>
      <c r="H190">
        <v>0</v>
      </c>
      <c r="I190">
        <v>0</v>
      </c>
      <c r="J190">
        <v>0</v>
      </c>
      <c r="K190">
        <v>2</v>
      </c>
    </row>
    <row r="191" spans="1:11" ht="15" customHeight="1" x14ac:dyDescent="0.25">
      <c r="A191" t="s">
        <v>182</v>
      </c>
      <c r="B191" t="s">
        <v>37</v>
      </c>
      <c r="C191">
        <v>730000</v>
      </c>
      <c r="D191">
        <v>0</v>
      </c>
      <c r="E191">
        <v>1</v>
      </c>
      <c r="F191">
        <v>0</v>
      </c>
      <c r="G191">
        <v>0</v>
      </c>
      <c r="H191">
        <v>1</v>
      </c>
      <c r="I191">
        <v>0</v>
      </c>
      <c r="J191">
        <v>0</v>
      </c>
      <c r="K191">
        <v>2</v>
      </c>
    </row>
    <row r="192" spans="1:11" ht="15" customHeight="1" x14ac:dyDescent="0.25">
      <c r="A192" t="s">
        <v>186</v>
      </c>
      <c r="B192" t="s">
        <v>38</v>
      </c>
      <c r="C192">
        <v>1000000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7</v>
      </c>
    </row>
    <row r="193" spans="1:11" ht="15" customHeight="1" x14ac:dyDescent="0.25">
      <c r="A193" t="s">
        <v>182</v>
      </c>
      <c r="B193" t="s">
        <v>38</v>
      </c>
      <c r="C193">
        <v>1400000</v>
      </c>
      <c r="D193">
        <v>0</v>
      </c>
      <c r="E193">
        <v>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4</v>
      </c>
    </row>
    <row r="194" spans="1:11" ht="15" customHeight="1" x14ac:dyDescent="0.25">
      <c r="A194" t="s">
        <v>185</v>
      </c>
      <c r="B194" t="s">
        <v>39</v>
      </c>
      <c r="C194">
        <v>740000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0</v>
      </c>
      <c r="J194">
        <v>0</v>
      </c>
      <c r="K194">
        <v>5</v>
      </c>
    </row>
    <row r="195" spans="1:11" ht="15" customHeight="1" x14ac:dyDescent="0.25">
      <c r="A195" t="s">
        <v>186</v>
      </c>
      <c r="B195" t="s">
        <v>39</v>
      </c>
      <c r="C195">
        <v>850000</v>
      </c>
      <c r="D195">
        <v>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5</v>
      </c>
    </row>
    <row r="196" spans="1:11" ht="15" customHeight="1" x14ac:dyDescent="0.25">
      <c r="A196" t="s">
        <v>177</v>
      </c>
      <c r="B196" t="s">
        <v>39</v>
      </c>
      <c r="C196">
        <v>900000</v>
      </c>
      <c r="D196">
        <v>1</v>
      </c>
      <c r="E196">
        <v>0</v>
      </c>
      <c r="F196">
        <v>0</v>
      </c>
      <c r="G196">
        <v>1</v>
      </c>
      <c r="H196">
        <v>0</v>
      </c>
      <c r="I196">
        <v>0</v>
      </c>
      <c r="J196">
        <v>0</v>
      </c>
      <c r="K196">
        <v>3</v>
      </c>
    </row>
    <row r="197" spans="1:11" ht="15" customHeight="1" x14ac:dyDescent="0.25">
      <c r="A197" t="s">
        <v>182</v>
      </c>
      <c r="B197" t="s">
        <v>39</v>
      </c>
      <c r="C197">
        <v>925000</v>
      </c>
      <c r="D197">
        <v>0</v>
      </c>
      <c r="E197">
        <v>1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3</v>
      </c>
    </row>
    <row r="198" spans="1:11" ht="15" customHeight="1" x14ac:dyDescent="0.25">
      <c r="A198" t="s">
        <v>183</v>
      </c>
      <c r="B198" t="s">
        <v>40</v>
      </c>
      <c r="C198">
        <v>1200000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0</v>
      </c>
      <c r="K198">
        <v>10</v>
      </c>
    </row>
    <row r="199" spans="1:11" ht="15" customHeight="1" x14ac:dyDescent="0.25">
      <c r="A199" t="s">
        <v>184</v>
      </c>
      <c r="B199" t="s">
        <v>40</v>
      </c>
      <c r="C199">
        <v>1200000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0</v>
      </c>
      <c r="K199">
        <v>10</v>
      </c>
    </row>
    <row r="200" spans="1:11" ht="15" customHeight="1" x14ac:dyDescent="0.25">
      <c r="A200" t="s">
        <v>186</v>
      </c>
      <c r="B200" t="s">
        <v>40</v>
      </c>
      <c r="C200">
        <v>1210000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0</v>
      </c>
      <c r="K200">
        <v>10</v>
      </c>
    </row>
    <row r="201" spans="1:11" ht="15" customHeight="1" x14ac:dyDescent="0.25">
      <c r="A201" t="s">
        <v>178</v>
      </c>
      <c r="B201" t="s">
        <v>40</v>
      </c>
      <c r="C201">
        <v>2100000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0</v>
      </c>
      <c r="J201">
        <v>0</v>
      </c>
      <c r="K201">
        <v>5</v>
      </c>
    </row>
    <row r="202" spans="1:11" ht="15" customHeight="1" x14ac:dyDescent="0.25">
      <c r="A202" t="s">
        <v>182</v>
      </c>
      <c r="B202" t="s">
        <v>40</v>
      </c>
      <c r="C202">
        <v>1800000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0</v>
      </c>
      <c r="K202">
        <v>7</v>
      </c>
    </row>
    <row r="203" spans="1:11" ht="15" customHeight="1" x14ac:dyDescent="0.25">
      <c r="A203" t="s">
        <v>183</v>
      </c>
      <c r="B203" t="s">
        <v>41</v>
      </c>
      <c r="C203">
        <v>580000</v>
      </c>
      <c r="D203">
        <v>0</v>
      </c>
      <c r="E203">
        <v>0</v>
      </c>
      <c r="F203">
        <v>0</v>
      </c>
      <c r="G203">
        <v>1</v>
      </c>
      <c r="H203">
        <v>0</v>
      </c>
      <c r="I203">
        <v>0</v>
      </c>
      <c r="J203">
        <v>0</v>
      </c>
      <c r="K203">
        <v>6</v>
      </c>
    </row>
    <row r="204" spans="1:11" ht="15" customHeight="1" x14ac:dyDescent="0.25">
      <c r="A204" t="s">
        <v>180</v>
      </c>
      <c r="B204" t="s">
        <v>41</v>
      </c>
      <c r="C204">
        <v>700000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7</v>
      </c>
    </row>
    <row r="205" spans="1:11" ht="15" customHeight="1" x14ac:dyDescent="0.25">
      <c r="A205" t="s">
        <v>181</v>
      </c>
      <c r="B205" t="s">
        <v>41</v>
      </c>
      <c r="C205">
        <v>650000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10</v>
      </c>
    </row>
    <row r="206" spans="1:11" ht="15" customHeight="1" x14ac:dyDescent="0.25">
      <c r="A206" t="s">
        <v>183</v>
      </c>
      <c r="B206" t="s">
        <v>117</v>
      </c>
      <c r="C206">
        <v>650000</v>
      </c>
      <c r="D206">
        <v>0</v>
      </c>
      <c r="E206">
        <v>0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8</v>
      </c>
    </row>
    <row r="207" spans="1:11" ht="15" customHeight="1" x14ac:dyDescent="0.25">
      <c r="A207" t="s">
        <v>180</v>
      </c>
      <c r="B207" t="s">
        <v>117</v>
      </c>
      <c r="C207">
        <v>750000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8</v>
      </c>
    </row>
    <row r="208" spans="1:11" ht="15" customHeight="1" x14ac:dyDescent="0.25">
      <c r="A208" t="s">
        <v>181</v>
      </c>
      <c r="B208" t="s">
        <v>117</v>
      </c>
      <c r="C208">
        <v>700000</v>
      </c>
      <c r="D208">
        <v>0</v>
      </c>
      <c r="E208">
        <v>0</v>
      </c>
      <c r="F208">
        <v>1</v>
      </c>
      <c r="G208">
        <v>0</v>
      </c>
      <c r="H208">
        <v>0</v>
      </c>
      <c r="I208">
        <v>0</v>
      </c>
      <c r="J208">
        <v>0</v>
      </c>
      <c r="K208">
        <v>10</v>
      </c>
    </row>
    <row r="209" spans="1:11" ht="15" customHeight="1" x14ac:dyDescent="0.25">
      <c r="A209" t="s">
        <v>183</v>
      </c>
      <c r="B209" t="s">
        <v>118</v>
      </c>
      <c r="C209">
        <v>600000</v>
      </c>
      <c r="D209">
        <v>0</v>
      </c>
      <c r="E209">
        <v>0</v>
      </c>
      <c r="F209">
        <v>0</v>
      </c>
      <c r="G209">
        <v>1</v>
      </c>
      <c r="H209">
        <v>0</v>
      </c>
      <c r="I209">
        <v>0</v>
      </c>
      <c r="J209">
        <v>0</v>
      </c>
      <c r="K209">
        <v>6</v>
      </c>
    </row>
    <row r="210" spans="1:11" ht="15" customHeight="1" x14ac:dyDescent="0.25">
      <c r="A210" t="s">
        <v>180</v>
      </c>
      <c r="B210" t="s">
        <v>118</v>
      </c>
      <c r="C210">
        <v>775000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7</v>
      </c>
    </row>
    <row r="211" spans="1:11" ht="15" customHeight="1" x14ac:dyDescent="0.25">
      <c r="A211" t="s">
        <v>181</v>
      </c>
      <c r="B211" t="s">
        <v>118</v>
      </c>
      <c r="C211">
        <v>725000</v>
      </c>
      <c r="D211">
        <v>0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10</v>
      </c>
    </row>
    <row r="212" spans="1:11" ht="15" customHeight="1" x14ac:dyDescent="0.25">
      <c r="A212" t="s">
        <v>183</v>
      </c>
      <c r="B212" t="s">
        <v>119</v>
      </c>
      <c r="C212">
        <v>625000</v>
      </c>
      <c r="D212">
        <v>0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7</v>
      </c>
    </row>
    <row r="213" spans="1:11" ht="15" customHeight="1" x14ac:dyDescent="0.25">
      <c r="A213" t="s">
        <v>180</v>
      </c>
      <c r="B213" t="s">
        <v>119</v>
      </c>
      <c r="C213">
        <v>700000</v>
      </c>
      <c r="D213">
        <v>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7</v>
      </c>
    </row>
    <row r="214" spans="1:11" ht="15" customHeight="1" x14ac:dyDescent="0.25">
      <c r="A214" t="s">
        <v>181</v>
      </c>
      <c r="B214" t="s">
        <v>119</v>
      </c>
      <c r="C214">
        <v>680000</v>
      </c>
      <c r="D214">
        <v>0</v>
      </c>
      <c r="E214">
        <v>0</v>
      </c>
      <c r="F214">
        <v>1</v>
      </c>
      <c r="G214">
        <v>0</v>
      </c>
      <c r="H214">
        <v>0</v>
      </c>
      <c r="I214">
        <v>0</v>
      </c>
      <c r="J214">
        <v>0</v>
      </c>
      <c r="K214">
        <v>10</v>
      </c>
    </row>
    <row r="215" spans="1:11" ht="15" customHeight="1" x14ac:dyDescent="0.25">
      <c r="A215" t="s">
        <v>183</v>
      </c>
      <c r="B215" t="s">
        <v>120</v>
      </c>
      <c r="C215">
        <v>620000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0</v>
      </c>
      <c r="J215">
        <v>0</v>
      </c>
      <c r="K215">
        <v>2</v>
      </c>
    </row>
    <row r="216" spans="1:11" ht="15" customHeight="1" x14ac:dyDescent="0.25">
      <c r="A216" t="s">
        <v>184</v>
      </c>
      <c r="B216" t="s">
        <v>120</v>
      </c>
      <c r="C216">
        <v>615000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0</v>
      </c>
      <c r="J216">
        <v>0</v>
      </c>
      <c r="K216">
        <v>2</v>
      </c>
    </row>
    <row r="217" spans="1:11" ht="15" customHeight="1" x14ac:dyDescent="0.25">
      <c r="A217" t="s">
        <v>185</v>
      </c>
      <c r="B217" t="s">
        <v>120</v>
      </c>
      <c r="C217">
        <v>620000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0</v>
      </c>
      <c r="J217">
        <v>0</v>
      </c>
      <c r="K217">
        <v>2</v>
      </c>
    </row>
    <row r="218" spans="1:11" ht="15" customHeight="1" x14ac:dyDescent="0.25">
      <c r="A218" t="s">
        <v>186</v>
      </c>
      <c r="B218" t="s">
        <v>120</v>
      </c>
      <c r="C218">
        <v>625000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0</v>
      </c>
      <c r="J218">
        <v>0</v>
      </c>
      <c r="K218">
        <v>1</v>
      </c>
    </row>
    <row r="219" spans="1:11" ht="15" customHeight="1" x14ac:dyDescent="0.25">
      <c r="A219" t="s">
        <v>177</v>
      </c>
      <c r="B219" t="s">
        <v>120</v>
      </c>
      <c r="C219">
        <v>725000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0</v>
      </c>
      <c r="J219">
        <v>0</v>
      </c>
      <c r="K219">
        <v>1</v>
      </c>
    </row>
    <row r="220" spans="1:11" ht="15" customHeight="1" x14ac:dyDescent="0.25">
      <c r="A220" t="s">
        <v>178</v>
      </c>
      <c r="B220" t="s">
        <v>120</v>
      </c>
      <c r="C220">
        <v>820000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0</v>
      </c>
      <c r="J220">
        <v>0</v>
      </c>
      <c r="K220">
        <v>1</v>
      </c>
    </row>
    <row r="221" spans="1:11" ht="15" customHeight="1" x14ac:dyDescent="0.25">
      <c r="A221" t="s">
        <v>179</v>
      </c>
      <c r="B221" t="s">
        <v>120</v>
      </c>
      <c r="C221">
        <v>800000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>
        <v>0</v>
      </c>
      <c r="K221">
        <v>1</v>
      </c>
    </row>
    <row r="222" spans="1:11" ht="15" customHeight="1" x14ac:dyDescent="0.25">
      <c r="A222" t="s">
        <v>180</v>
      </c>
      <c r="B222" t="s">
        <v>120</v>
      </c>
      <c r="C222">
        <v>750000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0</v>
      </c>
      <c r="J222">
        <v>0</v>
      </c>
      <c r="K222">
        <v>1</v>
      </c>
    </row>
    <row r="223" spans="1:11" ht="15" customHeight="1" x14ac:dyDescent="0.25">
      <c r="A223" t="s">
        <v>181</v>
      </c>
      <c r="B223" t="s">
        <v>120</v>
      </c>
      <c r="C223">
        <v>775000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0</v>
      </c>
      <c r="J223">
        <v>0</v>
      </c>
      <c r="K223">
        <v>1</v>
      </c>
    </row>
    <row r="224" spans="1:11" ht="15" customHeight="1" x14ac:dyDescent="0.25">
      <c r="A224" t="s">
        <v>182</v>
      </c>
      <c r="B224" t="s">
        <v>120</v>
      </c>
      <c r="C224">
        <v>825000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0</v>
      </c>
      <c r="J224">
        <v>0</v>
      </c>
      <c r="K224">
        <v>1</v>
      </c>
    </row>
    <row r="225" spans="1:11" ht="15" customHeight="1" x14ac:dyDescent="0.25">
      <c r="A225" t="s">
        <v>183</v>
      </c>
      <c r="B225" t="s">
        <v>121</v>
      </c>
      <c r="C225">
        <v>620000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0</v>
      </c>
      <c r="J225">
        <v>0</v>
      </c>
      <c r="K225">
        <v>2</v>
      </c>
    </row>
    <row r="226" spans="1:11" ht="15" customHeight="1" x14ac:dyDescent="0.25">
      <c r="A226" t="s">
        <v>184</v>
      </c>
      <c r="B226" t="s">
        <v>121</v>
      </c>
      <c r="C226">
        <v>615000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0</v>
      </c>
      <c r="J226">
        <v>0</v>
      </c>
      <c r="K226">
        <v>2</v>
      </c>
    </row>
    <row r="227" spans="1:11" ht="15" customHeight="1" x14ac:dyDescent="0.25">
      <c r="A227" t="s">
        <v>185</v>
      </c>
      <c r="B227" t="s">
        <v>121</v>
      </c>
      <c r="C227">
        <v>620000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0</v>
      </c>
      <c r="J227">
        <v>0</v>
      </c>
      <c r="K227">
        <v>2</v>
      </c>
    </row>
    <row r="228" spans="1:11" ht="15" customHeight="1" x14ac:dyDescent="0.25">
      <c r="A228" t="s">
        <v>186</v>
      </c>
      <c r="B228" t="s">
        <v>121</v>
      </c>
      <c r="C228">
        <v>625000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0</v>
      </c>
      <c r="J228">
        <v>0</v>
      </c>
      <c r="K228">
        <v>1</v>
      </c>
    </row>
    <row r="229" spans="1:11" ht="15" customHeight="1" x14ac:dyDescent="0.25">
      <c r="A229" t="s">
        <v>177</v>
      </c>
      <c r="B229" t="s">
        <v>121</v>
      </c>
      <c r="C229">
        <v>725000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0</v>
      </c>
      <c r="J229">
        <v>0</v>
      </c>
      <c r="K229">
        <v>1</v>
      </c>
    </row>
    <row r="230" spans="1:11" ht="15" customHeight="1" x14ac:dyDescent="0.25">
      <c r="A230" t="s">
        <v>178</v>
      </c>
      <c r="B230" t="s">
        <v>121</v>
      </c>
      <c r="C230">
        <v>820000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0</v>
      </c>
      <c r="J230">
        <v>0</v>
      </c>
      <c r="K230">
        <v>1</v>
      </c>
    </row>
    <row r="231" spans="1:11" ht="15" customHeight="1" x14ac:dyDescent="0.25">
      <c r="A231" t="s">
        <v>179</v>
      </c>
      <c r="B231" t="s">
        <v>121</v>
      </c>
      <c r="C231">
        <v>800000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0</v>
      </c>
      <c r="J231">
        <v>0</v>
      </c>
      <c r="K231">
        <v>1</v>
      </c>
    </row>
    <row r="232" spans="1:11" ht="15" customHeight="1" x14ac:dyDescent="0.25">
      <c r="A232" t="s">
        <v>180</v>
      </c>
      <c r="B232" t="s">
        <v>121</v>
      </c>
      <c r="C232">
        <v>750000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0</v>
      </c>
      <c r="J232">
        <v>0</v>
      </c>
      <c r="K232">
        <v>1</v>
      </c>
    </row>
    <row r="233" spans="1:11" ht="15" customHeight="1" x14ac:dyDescent="0.25">
      <c r="A233" t="s">
        <v>181</v>
      </c>
      <c r="B233" t="s">
        <v>121</v>
      </c>
      <c r="C233">
        <v>775000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0</v>
      </c>
      <c r="J233">
        <v>0</v>
      </c>
      <c r="K233">
        <v>1</v>
      </c>
    </row>
    <row r="234" spans="1:11" ht="15" customHeight="1" x14ac:dyDescent="0.25">
      <c r="A234" t="s">
        <v>182</v>
      </c>
      <c r="B234" t="s">
        <v>121</v>
      </c>
      <c r="C234">
        <v>825000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0</v>
      </c>
      <c r="J234">
        <v>0</v>
      </c>
      <c r="K234">
        <v>1</v>
      </c>
    </row>
    <row r="235" spans="1:11" ht="15" customHeight="1" x14ac:dyDescent="0.25">
      <c r="A235" t="s">
        <v>183</v>
      </c>
      <c r="B235" t="s">
        <v>122</v>
      </c>
      <c r="C235">
        <v>710000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0</v>
      </c>
      <c r="J235">
        <v>0</v>
      </c>
      <c r="K235">
        <v>14</v>
      </c>
    </row>
    <row r="236" spans="1:11" ht="15" customHeight="1" x14ac:dyDescent="0.25">
      <c r="A236" t="s">
        <v>186</v>
      </c>
      <c r="B236" t="s">
        <v>122</v>
      </c>
      <c r="C236">
        <v>700000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0</v>
      </c>
      <c r="J236">
        <v>0</v>
      </c>
      <c r="K236">
        <v>14</v>
      </c>
    </row>
    <row r="237" spans="1:11" ht="15" customHeight="1" x14ac:dyDescent="0.25">
      <c r="A237" t="s">
        <v>180</v>
      </c>
      <c r="B237" t="s">
        <v>122</v>
      </c>
      <c r="C237">
        <v>1215000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0</v>
      </c>
      <c r="J237">
        <v>0</v>
      </c>
      <c r="K237">
        <v>10</v>
      </c>
    </row>
    <row r="238" spans="1:11" ht="15" customHeight="1" x14ac:dyDescent="0.25">
      <c r="A238" t="s">
        <v>182</v>
      </c>
      <c r="B238" t="s">
        <v>122</v>
      </c>
      <c r="C238">
        <v>1200000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0</v>
      </c>
      <c r="J238">
        <v>0</v>
      </c>
      <c r="K238">
        <v>10</v>
      </c>
    </row>
    <row r="239" spans="1:11" ht="15" customHeight="1" x14ac:dyDescent="0.25">
      <c r="A239" t="s">
        <v>184</v>
      </c>
      <c r="B239" t="s">
        <v>123</v>
      </c>
      <c r="C239">
        <v>525000</v>
      </c>
      <c r="D239">
        <v>0</v>
      </c>
      <c r="E239">
        <v>1</v>
      </c>
      <c r="F239">
        <v>0</v>
      </c>
      <c r="G239">
        <v>0</v>
      </c>
      <c r="H239">
        <v>1</v>
      </c>
      <c r="I239">
        <v>0</v>
      </c>
      <c r="J239">
        <v>0</v>
      </c>
      <c r="K239">
        <v>5</v>
      </c>
    </row>
    <row r="240" spans="1:11" ht="15" customHeight="1" x14ac:dyDescent="0.25">
      <c r="A240" t="s">
        <v>185</v>
      </c>
      <c r="B240" t="s">
        <v>123</v>
      </c>
      <c r="C240">
        <v>520000</v>
      </c>
      <c r="D240">
        <v>1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5</v>
      </c>
    </row>
    <row r="241" spans="1:11" ht="15" customHeight="1" x14ac:dyDescent="0.25">
      <c r="A241" t="s">
        <v>177</v>
      </c>
      <c r="B241" t="s">
        <v>123</v>
      </c>
      <c r="C241">
        <v>735000</v>
      </c>
      <c r="D241">
        <v>1</v>
      </c>
      <c r="E241">
        <v>0</v>
      </c>
      <c r="F241">
        <v>0</v>
      </c>
      <c r="G241">
        <v>1</v>
      </c>
      <c r="H241">
        <v>0</v>
      </c>
      <c r="I241">
        <v>0</v>
      </c>
      <c r="J241">
        <v>0</v>
      </c>
      <c r="K241">
        <v>3</v>
      </c>
    </row>
    <row r="242" spans="1:11" ht="15" customHeight="1" x14ac:dyDescent="0.25">
      <c r="A242" t="s">
        <v>179</v>
      </c>
      <c r="B242" t="s">
        <v>123</v>
      </c>
      <c r="C242">
        <v>750000</v>
      </c>
      <c r="D242">
        <v>0</v>
      </c>
      <c r="E242">
        <v>1</v>
      </c>
      <c r="F242">
        <v>0</v>
      </c>
      <c r="G242">
        <v>0</v>
      </c>
      <c r="H242">
        <v>1</v>
      </c>
      <c r="I242">
        <v>0</v>
      </c>
      <c r="J242">
        <v>0</v>
      </c>
      <c r="K242">
        <v>3</v>
      </c>
    </row>
    <row r="243" spans="1:11" ht="15" customHeight="1" x14ac:dyDescent="0.25">
      <c r="A243" t="s">
        <v>181</v>
      </c>
      <c r="B243" t="s">
        <v>123</v>
      </c>
      <c r="C243">
        <v>720000</v>
      </c>
      <c r="D243">
        <v>0</v>
      </c>
      <c r="E243">
        <v>1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3</v>
      </c>
    </row>
    <row r="244" spans="1:11" ht="15" customHeight="1" x14ac:dyDescent="0.25">
      <c r="A244" t="s">
        <v>182</v>
      </c>
      <c r="B244" t="s">
        <v>123</v>
      </c>
      <c r="C244">
        <v>755000</v>
      </c>
      <c r="D244">
        <v>1</v>
      </c>
      <c r="E244">
        <v>0</v>
      </c>
      <c r="F244">
        <v>0</v>
      </c>
      <c r="G244">
        <v>1</v>
      </c>
      <c r="H244">
        <v>0</v>
      </c>
      <c r="I244">
        <v>0</v>
      </c>
      <c r="J244">
        <v>0</v>
      </c>
      <c r="K244">
        <v>3</v>
      </c>
    </row>
    <row r="245" spans="1:11" ht="15" customHeight="1" x14ac:dyDescent="0.25">
      <c r="A245" t="s">
        <v>183</v>
      </c>
      <c r="B245" t="s">
        <v>124</v>
      </c>
      <c r="C245">
        <v>500000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0</v>
      </c>
      <c r="J245">
        <v>0</v>
      </c>
      <c r="K245">
        <v>2</v>
      </c>
    </row>
    <row r="246" spans="1:11" ht="15" customHeight="1" x14ac:dyDescent="0.25">
      <c r="A246" t="s">
        <v>184</v>
      </c>
      <c r="B246" t="s">
        <v>124</v>
      </c>
      <c r="C246">
        <v>510000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>
        <v>0</v>
      </c>
      <c r="K246">
        <v>2</v>
      </c>
    </row>
    <row r="247" spans="1:11" ht="15" customHeight="1" x14ac:dyDescent="0.25">
      <c r="A247" t="s">
        <v>185</v>
      </c>
      <c r="B247" t="s">
        <v>124</v>
      </c>
      <c r="C247">
        <v>500000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0</v>
      </c>
      <c r="J247">
        <v>0</v>
      </c>
      <c r="K247">
        <v>2</v>
      </c>
    </row>
    <row r="248" spans="1:11" ht="15" customHeight="1" x14ac:dyDescent="0.25">
      <c r="A248" t="s">
        <v>186</v>
      </c>
      <c r="B248" t="s">
        <v>124</v>
      </c>
      <c r="C248">
        <v>510000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0</v>
      </c>
      <c r="J248">
        <v>0</v>
      </c>
      <c r="K248">
        <v>2</v>
      </c>
    </row>
    <row r="249" spans="1:11" ht="15" customHeight="1" x14ac:dyDescent="0.25">
      <c r="A249" t="s">
        <v>177</v>
      </c>
      <c r="B249" t="s">
        <v>124</v>
      </c>
      <c r="C249">
        <v>680000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0</v>
      </c>
      <c r="J249">
        <v>0</v>
      </c>
      <c r="K249">
        <v>1</v>
      </c>
    </row>
    <row r="250" spans="1:11" ht="15" customHeight="1" x14ac:dyDescent="0.25">
      <c r="A250" t="s">
        <v>178</v>
      </c>
      <c r="B250" t="s">
        <v>124</v>
      </c>
      <c r="C250">
        <v>700000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0</v>
      </c>
      <c r="J250">
        <v>0</v>
      </c>
      <c r="K250">
        <v>1</v>
      </c>
    </row>
    <row r="251" spans="1:11" ht="15" customHeight="1" x14ac:dyDescent="0.25">
      <c r="A251" t="s">
        <v>179</v>
      </c>
      <c r="B251" t="s">
        <v>124</v>
      </c>
      <c r="C251">
        <v>650000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0</v>
      </c>
      <c r="J251">
        <v>0</v>
      </c>
      <c r="K251">
        <v>1</v>
      </c>
    </row>
    <row r="252" spans="1:11" ht="15" customHeight="1" x14ac:dyDescent="0.25">
      <c r="A252" t="s">
        <v>180</v>
      </c>
      <c r="B252" t="s">
        <v>124</v>
      </c>
      <c r="C252">
        <v>675000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0</v>
      </c>
      <c r="J252">
        <v>0</v>
      </c>
      <c r="K252">
        <v>1</v>
      </c>
    </row>
    <row r="253" spans="1:11" ht="15" customHeight="1" x14ac:dyDescent="0.25">
      <c r="A253" t="s">
        <v>181</v>
      </c>
      <c r="B253" t="s">
        <v>124</v>
      </c>
      <c r="C253">
        <v>700000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0</v>
      </c>
      <c r="J253">
        <v>0</v>
      </c>
      <c r="K253">
        <v>1</v>
      </c>
    </row>
    <row r="254" spans="1:11" ht="15" customHeight="1" x14ac:dyDescent="0.25">
      <c r="A254" t="s">
        <v>182</v>
      </c>
      <c r="B254" t="s">
        <v>124</v>
      </c>
      <c r="C254">
        <v>700000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0</v>
      </c>
      <c r="J254">
        <v>0</v>
      </c>
      <c r="K254">
        <v>1</v>
      </c>
    </row>
    <row r="255" spans="1:11" ht="15" customHeight="1" x14ac:dyDescent="0.25">
      <c r="A255" t="s">
        <v>183</v>
      </c>
      <c r="B255" t="s">
        <v>125</v>
      </c>
      <c r="C255">
        <v>100000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0</v>
      </c>
      <c r="J255">
        <v>0</v>
      </c>
      <c r="K255">
        <v>3</v>
      </c>
    </row>
    <row r="256" spans="1:11" ht="15" customHeight="1" x14ac:dyDescent="0.25">
      <c r="A256" t="s">
        <v>184</v>
      </c>
      <c r="B256" t="s">
        <v>125</v>
      </c>
      <c r="C256">
        <v>90000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0</v>
      </c>
      <c r="J256">
        <v>0</v>
      </c>
      <c r="K256">
        <v>4</v>
      </c>
    </row>
    <row r="257" spans="1:11" ht="15" customHeight="1" x14ac:dyDescent="0.25">
      <c r="A257" t="s">
        <v>185</v>
      </c>
      <c r="B257" t="s">
        <v>125</v>
      </c>
      <c r="C257">
        <v>95000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0</v>
      </c>
      <c r="J257">
        <v>0</v>
      </c>
      <c r="K257">
        <v>4</v>
      </c>
    </row>
    <row r="258" spans="1:11" ht="15" customHeight="1" x14ac:dyDescent="0.25">
      <c r="A258" t="s">
        <v>186</v>
      </c>
      <c r="B258" t="s">
        <v>125</v>
      </c>
      <c r="C258">
        <v>100000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0</v>
      </c>
      <c r="J258">
        <v>0</v>
      </c>
      <c r="K258">
        <v>3</v>
      </c>
    </row>
    <row r="259" spans="1:11" ht="15" customHeight="1" x14ac:dyDescent="0.25">
      <c r="A259" t="s">
        <v>177</v>
      </c>
      <c r="B259" t="s">
        <v>125</v>
      </c>
      <c r="C259">
        <v>150000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0</v>
      </c>
      <c r="J259">
        <v>0</v>
      </c>
      <c r="K259">
        <v>3</v>
      </c>
    </row>
    <row r="260" spans="1:11" ht="15" customHeight="1" x14ac:dyDescent="0.25">
      <c r="A260" t="s">
        <v>178</v>
      </c>
      <c r="B260" t="s">
        <v>125</v>
      </c>
      <c r="C260">
        <v>135000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0</v>
      </c>
      <c r="J260">
        <v>0</v>
      </c>
      <c r="K260">
        <v>4</v>
      </c>
    </row>
    <row r="261" spans="1:11" ht="15" customHeight="1" x14ac:dyDescent="0.25">
      <c r="A261" t="s">
        <v>179</v>
      </c>
      <c r="B261" t="s">
        <v>125</v>
      </c>
      <c r="C261">
        <v>140000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0</v>
      </c>
      <c r="J261">
        <v>0</v>
      </c>
      <c r="K261">
        <v>4</v>
      </c>
    </row>
    <row r="262" spans="1:11" ht="15" customHeight="1" x14ac:dyDescent="0.25">
      <c r="A262" t="s">
        <v>180</v>
      </c>
      <c r="B262" t="s">
        <v>125</v>
      </c>
      <c r="C262">
        <v>150000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0</v>
      </c>
      <c r="J262">
        <v>0</v>
      </c>
      <c r="K262">
        <v>3</v>
      </c>
    </row>
    <row r="263" spans="1:11" ht="15" customHeight="1" x14ac:dyDescent="0.25">
      <c r="A263" t="s">
        <v>181</v>
      </c>
      <c r="B263" t="s">
        <v>125</v>
      </c>
      <c r="C263">
        <v>150000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0</v>
      </c>
      <c r="J263">
        <v>0</v>
      </c>
      <c r="K263">
        <v>3</v>
      </c>
    </row>
    <row r="264" spans="1:11" ht="15" customHeight="1" x14ac:dyDescent="0.25">
      <c r="A264" t="s">
        <v>182</v>
      </c>
      <c r="B264" t="s">
        <v>125</v>
      </c>
      <c r="C264">
        <v>145000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0</v>
      </c>
      <c r="J264">
        <v>0</v>
      </c>
      <c r="K264">
        <v>3</v>
      </c>
    </row>
    <row r="265" spans="1:11" ht="15" customHeight="1" x14ac:dyDescent="0.25">
      <c r="A265" t="s">
        <v>183</v>
      </c>
      <c r="B265" t="s">
        <v>126</v>
      </c>
      <c r="C265">
        <v>255000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0</v>
      </c>
      <c r="K265">
        <v>2</v>
      </c>
    </row>
    <row r="266" spans="1:11" ht="15" customHeight="1" x14ac:dyDescent="0.25">
      <c r="A266" t="s">
        <v>184</v>
      </c>
      <c r="B266" t="s">
        <v>126</v>
      </c>
      <c r="C266">
        <v>250000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0</v>
      </c>
      <c r="K266">
        <v>2</v>
      </c>
    </row>
    <row r="267" spans="1:11" ht="15" customHeight="1" x14ac:dyDescent="0.25">
      <c r="A267" t="s">
        <v>185</v>
      </c>
      <c r="B267" t="s">
        <v>126</v>
      </c>
      <c r="C267">
        <v>260000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0</v>
      </c>
      <c r="K267">
        <v>2</v>
      </c>
    </row>
    <row r="268" spans="1:11" ht="15" customHeight="1" x14ac:dyDescent="0.25">
      <c r="A268" t="s">
        <v>186</v>
      </c>
      <c r="B268" t="s">
        <v>126</v>
      </c>
      <c r="C268">
        <v>250000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0</v>
      </c>
      <c r="K268">
        <v>2</v>
      </c>
    </row>
    <row r="269" spans="1:11" ht="15" customHeight="1" x14ac:dyDescent="0.25">
      <c r="A269" t="s">
        <v>177</v>
      </c>
      <c r="B269" t="s">
        <v>126</v>
      </c>
      <c r="C269">
        <v>325000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0</v>
      </c>
      <c r="K269">
        <v>2</v>
      </c>
    </row>
    <row r="270" spans="1:11" ht="15" customHeight="1" x14ac:dyDescent="0.25">
      <c r="A270" t="s">
        <v>178</v>
      </c>
      <c r="B270" t="s">
        <v>126</v>
      </c>
      <c r="C270">
        <v>320000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0</v>
      </c>
      <c r="K270">
        <v>2</v>
      </c>
    </row>
    <row r="271" spans="1:11" ht="15" customHeight="1" x14ac:dyDescent="0.25">
      <c r="A271" t="s">
        <v>179</v>
      </c>
      <c r="B271" t="s">
        <v>126</v>
      </c>
      <c r="C271">
        <v>355000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0</v>
      </c>
      <c r="K271">
        <v>1</v>
      </c>
    </row>
    <row r="272" spans="1:11" ht="15" customHeight="1" x14ac:dyDescent="0.25">
      <c r="A272" t="s">
        <v>180</v>
      </c>
      <c r="B272" t="s">
        <v>126</v>
      </c>
      <c r="C272">
        <v>345000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0</v>
      </c>
      <c r="K272">
        <v>1</v>
      </c>
    </row>
    <row r="273" spans="1:11" ht="15" customHeight="1" x14ac:dyDescent="0.25">
      <c r="A273" t="s">
        <v>181</v>
      </c>
      <c r="B273" t="s">
        <v>126</v>
      </c>
      <c r="C273">
        <v>330000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0</v>
      </c>
      <c r="K273">
        <v>2</v>
      </c>
    </row>
    <row r="274" spans="1:11" ht="15" customHeight="1" x14ac:dyDescent="0.25">
      <c r="A274" t="s">
        <v>182</v>
      </c>
      <c r="B274" t="s">
        <v>126</v>
      </c>
      <c r="C274">
        <v>350000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0</v>
      </c>
      <c r="K274">
        <v>1</v>
      </c>
    </row>
    <row r="275" spans="1:11" ht="15" customHeight="1" x14ac:dyDescent="0.25">
      <c r="A275" t="s">
        <v>185</v>
      </c>
      <c r="B275" t="s">
        <v>127</v>
      </c>
      <c r="C275">
        <v>550000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0</v>
      </c>
      <c r="K275">
        <v>10</v>
      </c>
    </row>
    <row r="276" spans="1:11" ht="15" customHeight="1" x14ac:dyDescent="0.25">
      <c r="A276" t="s">
        <v>186</v>
      </c>
      <c r="B276" t="s">
        <v>127</v>
      </c>
      <c r="C276">
        <v>535000</v>
      </c>
      <c r="D276">
        <v>0</v>
      </c>
      <c r="E276">
        <v>1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10</v>
      </c>
    </row>
    <row r="277" spans="1:11" ht="15" customHeight="1" x14ac:dyDescent="0.25">
      <c r="A277" t="s">
        <v>177</v>
      </c>
      <c r="B277" t="s">
        <v>127</v>
      </c>
      <c r="C277">
        <v>725000</v>
      </c>
      <c r="D277">
        <v>1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7</v>
      </c>
    </row>
    <row r="278" spans="1:11" ht="15" customHeight="1" x14ac:dyDescent="0.25">
      <c r="A278" t="s">
        <v>179</v>
      </c>
      <c r="B278" t="s">
        <v>127</v>
      </c>
      <c r="C278">
        <v>720000</v>
      </c>
      <c r="D278">
        <v>0</v>
      </c>
      <c r="E278">
        <v>0</v>
      </c>
      <c r="F278">
        <v>1</v>
      </c>
      <c r="G278">
        <v>0</v>
      </c>
      <c r="H278">
        <v>0</v>
      </c>
      <c r="I278">
        <v>0</v>
      </c>
      <c r="J278">
        <v>0</v>
      </c>
      <c r="K278">
        <v>7</v>
      </c>
    </row>
    <row r="279" spans="1:11" ht="15" customHeight="1" x14ac:dyDescent="0.25">
      <c r="A279" t="s">
        <v>182</v>
      </c>
      <c r="B279" t="s">
        <v>127</v>
      </c>
      <c r="C279">
        <v>725000</v>
      </c>
      <c r="D279">
        <v>0</v>
      </c>
      <c r="E279">
        <v>0</v>
      </c>
      <c r="F279">
        <v>0</v>
      </c>
      <c r="G279">
        <v>1</v>
      </c>
      <c r="H279">
        <v>0</v>
      </c>
      <c r="I279">
        <v>0</v>
      </c>
      <c r="J279">
        <v>0</v>
      </c>
      <c r="K279">
        <v>7</v>
      </c>
    </row>
    <row r="280" spans="1:11" ht="15" customHeight="1" x14ac:dyDescent="0.25">
      <c r="A280" t="s">
        <v>186</v>
      </c>
      <c r="B280" t="s">
        <v>128</v>
      </c>
      <c r="C280">
        <v>1500000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0</v>
      </c>
      <c r="J280">
        <v>0</v>
      </c>
      <c r="K280">
        <v>10</v>
      </c>
    </row>
    <row r="281" spans="1:11" ht="15" customHeight="1" x14ac:dyDescent="0.25">
      <c r="A281" t="s">
        <v>180</v>
      </c>
      <c r="B281" t="s">
        <v>128</v>
      </c>
      <c r="C281">
        <v>2120000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0</v>
      </c>
      <c r="J281">
        <v>0</v>
      </c>
      <c r="K281">
        <v>8</v>
      </c>
    </row>
    <row r="282" spans="1:11" ht="15" customHeight="1" x14ac:dyDescent="0.25">
      <c r="A282" t="s">
        <v>186</v>
      </c>
      <c r="B282" t="s">
        <v>129</v>
      </c>
      <c r="C282">
        <v>1500000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0</v>
      </c>
      <c r="J282">
        <v>0</v>
      </c>
      <c r="K282">
        <v>10</v>
      </c>
    </row>
    <row r="283" spans="1:11" ht="15" customHeight="1" x14ac:dyDescent="0.25">
      <c r="A283" t="s">
        <v>180</v>
      </c>
      <c r="B283" t="s">
        <v>129</v>
      </c>
      <c r="C283">
        <v>2120000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0</v>
      </c>
      <c r="J283">
        <v>0</v>
      </c>
      <c r="K283">
        <v>8</v>
      </c>
    </row>
    <row r="284" spans="1:11" ht="15" customHeight="1" x14ac:dyDescent="0.25">
      <c r="A284" t="s">
        <v>184</v>
      </c>
      <c r="B284" t="s">
        <v>130</v>
      </c>
      <c r="C284">
        <v>975000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0</v>
      </c>
      <c r="J284">
        <v>0</v>
      </c>
      <c r="K284">
        <v>4</v>
      </c>
    </row>
    <row r="285" spans="1:11" ht="15" customHeight="1" x14ac:dyDescent="0.25">
      <c r="A285" t="s">
        <v>186</v>
      </c>
      <c r="B285" t="s">
        <v>130</v>
      </c>
      <c r="C285">
        <v>960000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0</v>
      </c>
      <c r="J285">
        <v>0</v>
      </c>
      <c r="K285">
        <v>4</v>
      </c>
    </row>
    <row r="286" spans="1:11" ht="15" customHeight="1" x14ac:dyDescent="0.25">
      <c r="A286" t="s">
        <v>177</v>
      </c>
      <c r="B286" t="s">
        <v>130</v>
      </c>
      <c r="C286">
        <v>1200000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0</v>
      </c>
      <c r="J286">
        <v>0</v>
      </c>
      <c r="K286">
        <v>3</v>
      </c>
    </row>
    <row r="287" spans="1:11" ht="15" customHeight="1" x14ac:dyDescent="0.25">
      <c r="A287" t="s">
        <v>178</v>
      </c>
      <c r="B287" t="s">
        <v>130</v>
      </c>
      <c r="C287">
        <v>1215000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0</v>
      </c>
      <c r="J287">
        <v>0</v>
      </c>
      <c r="K287">
        <v>3</v>
      </c>
    </row>
    <row r="288" spans="1:11" ht="15" customHeight="1" x14ac:dyDescent="0.25">
      <c r="A288" t="s">
        <v>181</v>
      </c>
      <c r="B288" t="s">
        <v>130</v>
      </c>
      <c r="C288">
        <v>1340000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0</v>
      </c>
      <c r="J288">
        <v>0</v>
      </c>
      <c r="K288">
        <v>2</v>
      </c>
    </row>
    <row r="289" spans="1:11" ht="15" customHeight="1" x14ac:dyDescent="0.25">
      <c r="A289" t="s">
        <v>182</v>
      </c>
      <c r="B289" t="s">
        <v>130</v>
      </c>
      <c r="C289">
        <v>1350000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0</v>
      </c>
      <c r="J289">
        <v>0</v>
      </c>
      <c r="K289">
        <v>2</v>
      </c>
    </row>
    <row r="290" spans="1:11" ht="15" customHeight="1" x14ac:dyDescent="0.25">
      <c r="A290" t="s">
        <v>184</v>
      </c>
      <c r="B290" t="s">
        <v>131</v>
      </c>
      <c r="C290">
        <v>800000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0</v>
      </c>
      <c r="J290">
        <v>0</v>
      </c>
      <c r="K290">
        <v>21</v>
      </c>
    </row>
    <row r="291" spans="1:11" ht="15" customHeight="1" x14ac:dyDescent="0.25">
      <c r="A291" t="s">
        <v>185</v>
      </c>
      <c r="B291" t="s">
        <v>131</v>
      </c>
      <c r="C291">
        <v>815000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0</v>
      </c>
      <c r="J291">
        <v>0</v>
      </c>
      <c r="K291">
        <v>21</v>
      </c>
    </row>
    <row r="292" spans="1:11" ht="15" customHeight="1" x14ac:dyDescent="0.25">
      <c r="A292" t="s">
        <v>180</v>
      </c>
      <c r="B292" t="s">
        <v>131</v>
      </c>
      <c r="C292">
        <v>1195000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0</v>
      </c>
      <c r="J292">
        <v>0</v>
      </c>
      <c r="K292">
        <v>20</v>
      </c>
    </row>
    <row r="293" spans="1:11" ht="15" customHeight="1" x14ac:dyDescent="0.25">
      <c r="A293" t="s">
        <v>182</v>
      </c>
      <c r="B293" t="s">
        <v>131</v>
      </c>
      <c r="C293">
        <v>1200000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0</v>
      </c>
      <c r="J293">
        <v>0</v>
      </c>
      <c r="K293">
        <v>14</v>
      </c>
    </row>
    <row r="294" spans="1:11" ht="15" customHeight="1" x14ac:dyDescent="0.25">
      <c r="A294" t="s">
        <v>183</v>
      </c>
      <c r="B294" t="s">
        <v>132</v>
      </c>
      <c r="C294">
        <v>1500000</v>
      </c>
      <c r="D294">
        <v>1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7</v>
      </c>
    </row>
    <row r="295" spans="1:11" ht="15" customHeight="1" x14ac:dyDescent="0.25">
      <c r="A295" t="s">
        <v>186</v>
      </c>
      <c r="B295" t="s">
        <v>132</v>
      </c>
      <c r="C295">
        <v>1515000</v>
      </c>
      <c r="D295">
        <v>0</v>
      </c>
      <c r="E295">
        <v>0</v>
      </c>
      <c r="F295">
        <v>1</v>
      </c>
      <c r="G295">
        <v>0</v>
      </c>
      <c r="H295">
        <v>0</v>
      </c>
      <c r="I295">
        <v>0</v>
      </c>
      <c r="J295">
        <v>0</v>
      </c>
      <c r="K295">
        <v>7</v>
      </c>
    </row>
    <row r="296" spans="1:11" ht="15" customHeight="1" x14ac:dyDescent="0.25">
      <c r="A296" t="s">
        <v>178</v>
      </c>
      <c r="B296" t="s">
        <v>132</v>
      </c>
      <c r="C296">
        <v>1950000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3</v>
      </c>
    </row>
    <row r="297" spans="1:11" ht="15" customHeight="1" x14ac:dyDescent="0.25">
      <c r="A297" t="s">
        <v>179</v>
      </c>
      <c r="B297" t="s">
        <v>132</v>
      </c>
      <c r="C297">
        <v>1900000</v>
      </c>
      <c r="D297">
        <v>0</v>
      </c>
      <c r="E297">
        <v>0</v>
      </c>
      <c r="F297">
        <v>0</v>
      </c>
      <c r="G297">
        <v>1</v>
      </c>
      <c r="H297">
        <v>0</v>
      </c>
      <c r="I297">
        <v>0</v>
      </c>
      <c r="J297">
        <v>0</v>
      </c>
      <c r="K297">
        <v>4</v>
      </c>
    </row>
    <row r="298" spans="1:11" ht="15" customHeight="1" x14ac:dyDescent="0.25">
      <c r="A298" t="s">
        <v>184</v>
      </c>
      <c r="B298" t="s">
        <v>133</v>
      </c>
      <c r="C298">
        <v>1500000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0</v>
      </c>
      <c r="J298">
        <v>0</v>
      </c>
      <c r="K298">
        <v>20</v>
      </c>
    </row>
    <row r="299" spans="1:11" ht="15" customHeight="1" x14ac:dyDescent="0.25">
      <c r="A299" t="s">
        <v>185</v>
      </c>
      <c r="B299" t="s">
        <v>133</v>
      </c>
      <c r="C299">
        <v>1500000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0</v>
      </c>
      <c r="J299">
        <v>0</v>
      </c>
      <c r="K299">
        <v>20</v>
      </c>
    </row>
    <row r="300" spans="1:11" ht="15" customHeight="1" x14ac:dyDescent="0.25">
      <c r="A300" t="s">
        <v>183</v>
      </c>
      <c r="B300" t="s">
        <v>134</v>
      </c>
      <c r="C300">
        <v>1200000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0</v>
      </c>
      <c r="K300">
        <v>1</v>
      </c>
    </row>
    <row r="301" spans="1:11" x14ac:dyDescent="0.25">
      <c r="A301" t="s">
        <v>184</v>
      </c>
      <c r="B301" t="s">
        <v>134</v>
      </c>
      <c r="C301">
        <v>1210000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0</v>
      </c>
      <c r="K301">
        <v>1</v>
      </c>
    </row>
    <row r="302" spans="1:11" ht="15" customHeight="1" x14ac:dyDescent="0.25">
      <c r="A302" t="s">
        <v>185</v>
      </c>
      <c r="B302" t="s">
        <v>134</v>
      </c>
      <c r="C302">
        <v>1200000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1</v>
      </c>
    </row>
    <row r="303" spans="1:11" x14ac:dyDescent="0.25">
      <c r="A303" t="s">
        <v>186</v>
      </c>
      <c r="B303" t="s">
        <v>134</v>
      </c>
      <c r="C303">
        <v>1210000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0</v>
      </c>
      <c r="K303">
        <v>1</v>
      </c>
    </row>
    <row r="304" spans="1:11" ht="15" customHeight="1" x14ac:dyDescent="0.25">
      <c r="A304" t="s">
        <v>182</v>
      </c>
      <c r="B304" t="s">
        <v>134</v>
      </c>
      <c r="C304">
        <v>1500000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0</v>
      </c>
      <c r="J304">
        <v>0</v>
      </c>
      <c r="K304">
        <v>1</v>
      </c>
    </row>
    <row r="305" spans="1:11" x14ac:dyDescent="0.25">
      <c r="A305" t="s">
        <v>183</v>
      </c>
      <c r="B305" t="s">
        <v>135</v>
      </c>
      <c r="C305">
        <v>600000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0</v>
      </c>
      <c r="K305">
        <v>1</v>
      </c>
    </row>
    <row r="306" spans="1:11" ht="15" customHeight="1" x14ac:dyDescent="0.25">
      <c r="A306" t="s">
        <v>184</v>
      </c>
      <c r="B306" t="s">
        <v>135</v>
      </c>
      <c r="C306">
        <v>605000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0</v>
      </c>
      <c r="K306">
        <v>1</v>
      </c>
    </row>
    <row r="307" spans="1:11" x14ac:dyDescent="0.25">
      <c r="A307" t="s">
        <v>185</v>
      </c>
      <c r="B307" t="s">
        <v>135</v>
      </c>
      <c r="C307">
        <v>600000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0</v>
      </c>
      <c r="K307">
        <v>1</v>
      </c>
    </row>
    <row r="308" spans="1:11" ht="15" customHeight="1" x14ac:dyDescent="0.25">
      <c r="A308" t="s">
        <v>186</v>
      </c>
      <c r="B308" t="s">
        <v>135</v>
      </c>
      <c r="C308">
        <v>605000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0</v>
      </c>
      <c r="K308">
        <v>1</v>
      </c>
    </row>
    <row r="309" spans="1:11" x14ac:dyDescent="0.25">
      <c r="A309" t="s">
        <v>182</v>
      </c>
      <c r="B309" t="s">
        <v>135</v>
      </c>
      <c r="C309">
        <v>750000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0</v>
      </c>
      <c r="J309">
        <v>0</v>
      </c>
      <c r="K309">
        <v>1</v>
      </c>
    </row>
    <row r="310" spans="1:11" ht="15" customHeight="1" x14ac:dyDescent="0.25">
      <c r="A310" t="s">
        <v>183</v>
      </c>
      <c r="B310" t="s">
        <v>136</v>
      </c>
      <c r="C310">
        <v>750000</v>
      </c>
      <c r="D310">
        <v>1</v>
      </c>
      <c r="E310">
        <v>0</v>
      </c>
      <c r="F310">
        <v>0</v>
      </c>
      <c r="G310">
        <v>1</v>
      </c>
      <c r="H310">
        <v>0</v>
      </c>
      <c r="I310">
        <v>0</v>
      </c>
      <c r="J310">
        <v>0</v>
      </c>
      <c r="K310">
        <v>3</v>
      </c>
    </row>
    <row r="311" spans="1:11" ht="15" customHeight="1" x14ac:dyDescent="0.25">
      <c r="A311" t="s">
        <v>184</v>
      </c>
      <c r="B311" t="s">
        <v>136</v>
      </c>
      <c r="C311">
        <v>760000</v>
      </c>
      <c r="D311">
        <v>0</v>
      </c>
      <c r="E311">
        <v>1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3</v>
      </c>
    </row>
    <row r="312" spans="1:11" ht="15" customHeight="1" x14ac:dyDescent="0.25">
      <c r="A312" t="s">
        <v>185</v>
      </c>
      <c r="B312" t="s">
        <v>136</v>
      </c>
      <c r="C312">
        <v>755000</v>
      </c>
      <c r="D312">
        <v>1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3</v>
      </c>
    </row>
    <row r="313" spans="1:11" ht="15" customHeight="1" x14ac:dyDescent="0.25">
      <c r="A313" t="s">
        <v>186</v>
      </c>
      <c r="B313" t="s">
        <v>136</v>
      </c>
      <c r="C313">
        <v>765000</v>
      </c>
      <c r="D313">
        <v>0</v>
      </c>
      <c r="E313">
        <v>1</v>
      </c>
      <c r="F313">
        <v>0</v>
      </c>
      <c r="G313">
        <v>0</v>
      </c>
      <c r="H313">
        <v>1</v>
      </c>
      <c r="I313">
        <v>0</v>
      </c>
      <c r="J313">
        <v>0</v>
      </c>
      <c r="K313">
        <v>3</v>
      </c>
    </row>
    <row r="314" spans="1:11" ht="15" customHeight="1" x14ac:dyDescent="0.25">
      <c r="A314" t="s">
        <v>177</v>
      </c>
      <c r="B314" t="s">
        <v>136</v>
      </c>
      <c r="C314">
        <v>900000</v>
      </c>
      <c r="D314">
        <v>1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2</v>
      </c>
    </row>
    <row r="315" spans="1:11" ht="15" customHeight="1" x14ac:dyDescent="0.25">
      <c r="A315" t="s">
        <v>178</v>
      </c>
      <c r="B315" t="s">
        <v>136</v>
      </c>
      <c r="C315">
        <v>1000000</v>
      </c>
      <c r="D315">
        <v>0</v>
      </c>
      <c r="E315">
        <v>1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2</v>
      </c>
    </row>
    <row r="316" spans="1:11" ht="15" customHeight="1" x14ac:dyDescent="0.25">
      <c r="A316" t="s">
        <v>179</v>
      </c>
      <c r="B316" t="s">
        <v>136</v>
      </c>
      <c r="C316">
        <v>950000</v>
      </c>
      <c r="D316">
        <v>1</v>
      </c>
      <c r="E316">
        <v>0</v>
      </c>
      <c r="F316">
        <v>0</v>
      </c>
      <c r="G316">
        <v>1</v>
      </c>
      <c r="H316">
        <v>0</v>
      </c>
      <c r="I316">
        <v>0</v>
      </c>
      <c r="J316">
        <v>0</v>
      </c>
      <c r="K316">
        <v>2</v>
      </c>
    </row>
    <row r="317" spans="1:11" ht="15" customHeight="1" x14ac:dyDescent="0.25">
      <c r="A317" t="s">
        <v>180</v>
      </c>
      <c r="B317" t="s">
        <v>136</v>
      </c>
      <c r="C317">
        <v>1010000</v>
      </c>
      <c r="D317">
        <v>1</v>
      </c>
      <c r="E317">
        <v>0</v>
      </c>
      <c r="F317">
        <v>0</v>
      </c>
      <c r="G317">
        <v>1</v>
      </c>
      <c r="H317">
        <v>0</v>
      </c>
      <c r="I317">
        <v>0</v>
      </c>
      <c r="J317">
        <v>0</v>
      </c>
      <c r="K317">
        <v>2</v>
      </c>
    </row>
    <row r="318" spans="1:11" ht="15" customHeight="1" x14ac:dyDescent="0.25">
      <c r="A318" t="s">
        <v>181</v>
      </c>
      <c r="B318" t="s">
        <v>136</v>
      </c>
      <c r="C318">
        <v>975000</v>
      </c>
      <c r="D318">
        <v>0</v>
      </c>
      <c r="E318">
        <v>1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2</v>
      </c>
    </row>
    <row r="319" spans="1:11" ht="15" customHeight="1" x14ac:dyDescent="0.25">
      <c r="A319" t="s">
        <v>182</v>
      </c>
      <c r="B319" t="s">
        <v>136</v>
      </c>
      <c r="C319">
        <v>1000000</v>
      </c>
      <c r="D319">
        <v>0</v>
      </c>
      <c r="E319">
        <v>1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2</v>
      </c>
    </row>
    <row r="320" spans="1:11" ht="15" customHeight="1" x14ac:dyDescent="0.25">
      <c r="A320" t="s">
        <v>183</v>
      </c>
      <c r="B320" t="s">
        <v>137</v>
      </c>
      <c r="C320">
        <v>905000</v>
      </c>
      <c r="D320">
        <v>1</v>
      </c>
      <c r="E320">
        <v>0</v>
      </c>
      <c r="F320">
        <v>0</v>
      </c>
      <c r="G320">
        <v>1</v>
      </c>
      <c r="H320">
        <v>0</v>
      </c>
      <c r="I320">
        <v>0</v>
      </c>
      <c r="J320">
        <v>0</v>
      </c>
      <c r="K320">
        <v>4</v>
      </c>
    </row>
    <row r="321" spans="1:11" ht="15" customHeight="1" x14ac:dyDescent="0.25">
      <c r="A321" t="s">
        <v>184</v>
      </c>
      <c r="B321" t="s">
        <v>137</v>
      </c>
      <c r="C321">
        <v>910000</v>
      </c>
      <c r="D321">
        <v>0</v>
      </c>
      <c r="E321">
        <v>1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4</v>
      </c>
    </row>
    <row r="322" spans="1:11" ht="15" customHeight="1" x14ac:dyDescent="0.25">
      <c r="A322" t="s">
        <v>185</v>
      </c>
      <c r="B322" t="s">
        <v>137</v>
      </c>
      <c r="C322">
        <v>900000</v>
      </c>
      <c r="D322">
        <v>1</v>
      </c>
      <c r="E322">
        <v>0</v>
      </c>
      <c r="F322">
        <v>0</v>
      </c>
      <c r="G322">
        <v>1</v>
      </c>
      <c r="H322">
        <v>0</v>
      </c>
      <c r="I322">
        <v>0</v>
      </c>
      <c r="J322">
        <v>0</v>
      </c>
      <c r="K322">
        <v>4</v>
      </c>
    </row>
    <row r="323" spans="1:11" ht="15" customHeight="1" x14ac:dyDescent="0.25">
      <c r="A323" t="s">
        <v>186</v>
      </c>
      <c r="B323" t="s">
        <v>137</v>
      </c>
      <c r="C323">
        <v>905000</v>
      </c>
      <c r="D323">
        <v>0</v>
      </c>
      <c r="E323">
        <v>1</v>
      </c>
      <c r="F323">
        <v>0</v>
      </c>
      <c r="G323">
        <v>0</v>
      </c>
      <c r="H323">
        <v>1</v>
      </c>
      <c r="I323">
        <v>0</v>
      </c>
      <c r="J323">
        <v>0</v>
      </c>
      <c r="K323">
        <v>5</v>
      </c>
    </row>
    <row r="324" spans="1:11" ht="15" customHeight="1" x14ac:dyDescent="0.25">
      <c r="A324" t="s">
        <v>177</v>
      </c>
      <c r="B324" t="s">
        <v>137</v>
      </c>
      <c r="C324">
        <v>1300000</v>
      </c>
      <c r="D324">
        <v>1</v>
      </c>
      <c r="E324">
        <v>0</v>
      </c>
      <c r="F324">
        <v>0</v>
      </c>
      <c r="G324">
        <v>1</v>
      </c>
      <c r="H324">
        <v>0</v>
      </c>
      <c r="I324">
        <v>0</v>
      </c>
      <c r="J324">
        <v>0</v>
      </c>
      <c r="K324">
        <v>3</v>
      </c>
    </row>
    <row r="325" spans="1:11" ht="15" customHeight="1" x14ac:dyDescent="0.25">
      <c r="A325" t="s">
        <v>178</v>
      </c>
      <c r="B325" t="s">
        <v>137</v>
      </c>
      <c r="C325">
        <v>1290000</v>
      </c>
      <c r="D325">
        <v>0</v>
      </c>
      <c r="E325">
        <v>1</v>
      </c>
      <c r="F325">
        <v>0</v>
      </c>
      <c r="G325">
        <v>0</v>
      </c>
      <c r="H325">
        <v>1</v>
      </c>
      <c r="I325">
        <v>0</v>
      </c>
      <c r="J325">
        <v>0</v>
      </c>
      <c r="K325">
        <v>4</v>
      </c>
    </row>
    <row r="326" spans="1:11" ht="15" customHeight="1" x14ac:dyDescent="0.25">
      <c r="A326" t="s">
        <v>179</v>
      </c>
      <c r="B326" t="s">
        <v>137</v>
      </c>
      <c r="C326">
        <v>1305000</v>
      </c>
      <c r="D326">
        <v>0</v>
      </c>
      <c r="E326">
        <v>1</v>
      </c>
      <c r="F326">
        <v>0</v>
      </c>
      <c r="G326">
        <v>0</v>
      </c>
      <c r="H326">
        <v>1</v>
      </c>
      <c r="I326">
        <v>0</v>
      </c>
      <c r="J326">
        <v>0</v>
      </c>
      <c r="K326">
        <v>3</v>
      </c>
    </row>
    <row r="327" spans="1:11" ht="15" customHeight="1" x14ac:dyDescent="0.25">
      <c r="A327" t="s">
        <v>180</v>
      </c>
      <c r="B327" t="s">
        <v>137</v>
      </c>
      <c r="C327">
        <v>1320000</v>
      </c>
      <c r="D327">
        <v>1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3</v>
      </c>
    </row>
    <row r="328" spans="1:11" ht="15" customHeight="1" x14ac:dyDescent="0.25">
      <c r="A328" t="s">
        <v>181</v>
      </c>
      <c r="B328" t="s">
        <v>137</v>
      </c>
      <c r="C328">
        <v>1325000</v>
      </c>
      <c r="D328">
        <v>1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0</v>
      </c>
      <c r="K328">
        <v>3</v>
      </c>
    </row>
    <row r="329" spans="1:11" ht="15" customHeight="1" x14ac:dyDescent="0.25">
      <c r="A329" t="s">
        <v>182</v>
      </c>
      <c r="B329" t="s">
        <v>137</v>
      </c>
      <c r="C329">
        <v>1300000</v>
      </c>
      <c r="D329">
        <v>0</v>
      </c>
      <c r="E329">
        <v>1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3</v>
      </c>
    </row>
    <row r="330" spans="1:11" ht="15" customHeight="1" x14ac:dyDescent="0.25">
      <c r="A330" t="s">
        <v>183</v>
      </c>
      <c r="B330" t="s">
        <v>138</v>
      </c>
      <c r="C330">
        <v>750000</v>
      </c>
      <c r="D330">
        <v>1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3</v>
      </c>
    </row>
    <row r="331" spans="1:11" ht="15" customHeight="1" x14ac:dyDescent="0.25">
      <c r="A331" t="s">
        <v>184</v>
      </c>
      <c r="B331" t="s">
        <v>138</v>
      </c>
      <c r="C331">
        <v>760000</v>
      </c>
      <c r="D331">
        <v>0</v>
      </c>
      <c r="E331">
        <v>1</v>
      </c>
      <c r="F331">
        <v>0</v>
      </c>
      <c r="G331">
        <v>0</v>
      </c>
      <c r="H331">
        <v>1</v>
      </c>
      <c r="I331">
        <v>0</v>
      </c>
      <c r="J331">
        <v>0</v>
      </c>
      <c r="K331">
        <v>3</v>
      </c>
    </row>
    <row r="332" spans="1:11" ht="15" customHeight="1" x14ac:dyDescent="0.25">
      <c r="A332" t="s">
        <v>185</v>
      </c>
      <c r="B332" t="s">
        <v>138</v>
      </c>
      <c r="C332">
        <v>755000</v>
      </c>
      <c r="D332">
        <v>1</v>
      </c>
      <c r="E332">
        <v>0</v>
      </c>
      <c r="F332">
        <v>0</v>
      </c>
      <c r="G332">
        <v>1</v>
      </c>
      <c r="H332">
        <v>0</v>
      </c>
      <c r="I332">
        <v>0</v>
      </c>
      <c r="J332">
        <v>0</v>
      </c>
      <c r="K332">
        <v>3</v>
      </c>
    </row>
    <row r="333" spans="1:11" ht="15" customHeight="1" x14ac:dyDescent="0.25">
      <c r="A333" t="s">
        <v>186</v>
      </c>
      <c r="B333" t="s">
        <v>138</v>
      </c>
      <c r="C333">
        <v>765000</v>
      </c>
      <c r="D333">
        <v>0</v>
      </c>
      <c r="E333">
        <v>1</v>
      </c>
      <c r="F333">
        <v>0</v>
      </c>
      <c r="G333">
        <v>0</v>
      </c>
      <c r="H333">
        <v>1</v>
      </c>
      <c r="I333">
        <v>0</v>
      </c>
      <c r="J333">
        <v>0</v>
      </c>
      <c r="K333">
        <v>3</v>
      </c>
    </row>
    <row r="334" spans="1:11" ht="15" customHeight="1" x14ac:dyDescent="0.25">
      <c r="A334" t="s">
        <v>177</v>
      </c>
      <c r="B334" t="s">
        <v>138</v>
      </c>
      <c r="C334">
        <v>900000</v>
      </c>
      <c r="D334">
        <v>1</v>
      </c>
      <c r="E334">
        <v>0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2</v>
      </c>
    </row>
    <row r="335" spans="1:11" ht="15" customHeight="1" x14ac:dyDescent="0.25">
      <c r="A335" t="s">
        <v>178</v>
      </c>
      <c r="B335" t="s">
        <v>138</v>
      </c>
      <c r="C335">
        <v>1000000</v>
      </c>
      <c r="D335">
        <v>0</v>
      </c>
      <c r="E335">
        <v>1</v>
      </c>
      <c r="F335">
        <v>0</v>
      </c>
      <c r="G335">
        <v>0</v>
      </c>
      <c r="H335">
        <v>1</v>
      </c>
      <c r="I335">
        <v>0</v>
      </c>
      <c r="J335">
        <v>0</v>
      </c>
      <c r="K335">
        <v>2</v>
      </c>
    </row>
    <row r="336" spans="1:11" ht="15" customHeight="1" x14ac:dyDescent="0.25">
      <c r="A336" t="s">
        <v>179</v>
      </c>
      <c r="B336" t="s">
        <v>138</v>
      </c>
      <c r="C336">
        <v>950000</v>
      </c>
      <c r="D336">
        <v>1</v>
      </c>
      <c r="E336">
        <v>0</v>
      </c>
      <c r="F336">
        <v>0</v>
      </c>
      <c r="G336">
        <v>1</v>
      </c>
      <c r="H336">
        <v>0</v>
      </c>
      <c r="I336">
        <v>0</v>
      </c>
      <c r="J336">
        <v>0</v>
      </c>
      <c r="K336">
        <v>2</v>
      </c>
    </row>
    <row r="337" spans="1:11" ht="15" customHeight="1" x14ac:dyDescent="0.25">
      <c r="A337" t="s">
        <v>180</v>
      </c>
      <c r="B337" t="s">
        <v>138</v>
      </c>
      <c r="C337">
        <v>1010000</v>
      </c>
      <c r="D337">
        <v>1</v>
      </c>
      <c r="E337">
        <v>0</v>
      </c>
      <c r="F337">
        <v>0</v>
      </c>
      <c r="G337">
        <v>1</v>
      </c>
      <c r="H337">
        <v>0</v>
      </c>
      <c r="I337">
        <v>0</v>
      </c>
      <c r="J337">
        <v>0</v>
      </c>
      <c r="K337">
        <v>2</v>
      </c>
    </row>
    <row r="338" spans="1:11" ht="15" customHeight="1" x14ac:dyDescent="0.25">
      <c r="A338" t="s">
        <v>181</v>
      </c>
      <c r="B338" t="s">
        <v>138</v>
      </c>
      <c r="C338">
        <v>975000</v>
      </c>
      <c r="D338">
        <v>0</v>
      </c>
      <c r="E338">
        <v>1</v>
      </c>
      <c r="F338">
        <v>0</v>
      </c>
      <c r="G338">
        <v>0</v>
      </c>
      <c r="H338">
        <v>1</v>
      </c>
      <c r="I338">
        <v>0</v>
      </c>
      <c r="J338">
        <v>0</v>
      </c>
      <c r="K338">
        <v>2</v>
      </c>
    </row>
    <row r="339" spans="1:11" ht="15" customHeight="1" x14ac:dyDescent="0.25">
      <c r="A339" t="s">
        <v>182</v>
      </c>
      <c r="B339" t="s">
        <v>138</v>
      </c>
      <c r="C339">
        <v>1000000</v>
      </c>
      <c r="D339">
        <v>0</v>
      </c>
      <c r="E339">
        <v>1</v>
      </c>
      <c r="F339">
        <v>0</v>
      </c>
      <c r="G339">
        <v>0</v>
      </c>
      <c r="H339">
        <v>1</v>
      </c>
      <c r="I339">
        <v>0</v>
      </c>
      <c r="J339">
        <v>0</v>
      </c>
      <c r="K339">
        <v>2</v>
      </c>
    </row>
    <row r="340" spans="1:11" ht="15" customHeight="1" x14ac:dyDescent="0.25">
      <c r="A340" t="s">
        <v>183</v>
      </c>
      <c r="B340" t="s">
        <v>139</v>
      </c>
      <c r="C340">
        <v>750000</v>
      </c>
      <c r="D340">
        <v>1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3</v>
      </c>
    </row>
    <row r="341" spans="1:11" ht="15" customHeight="1" x14ac:dyDescent="0.25">
      <c r="A341" t="s">
        <v>184</v>
      </c>
      <c r="B341" t="s">
        <v>139</v>
      </c>
      <c r="C341">
        <v>760000</v>
      </c>
      <c r="D341">
        <v>0</v>
      </c>
      <c r="E341">
        <v>1</v>
      </c>
      <c r="F341">
        <v>0</v>
      </c>
      <c r="G341">
        <v>0</v>
      </c>
      <c r="H341">
        <v>1</v>
      </c>
      <c r="I341">
        <v>0</v>
      </c>
      <c r="J341">
        <v>0</v>
      </c>
      <c r="K341">
        <v>3</v>
      </c>
    </row>
    <row r="342" spans="1:11" ht="15" customHeight="1" x14ac:dyDescent="0.25">
      <c r="A342" t="s">
        <v>185</v>
      </c>
      <c r="B342" t="s">
        <v>139</v>
      </c>
      <c r="C342">
        <v>755000</v>
      </c>
      <c r="D342">
        <v>1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3</v>
      </c>
    </row>
    <row r="343" spans="1:11" ht="15" customHeight="1" x14ac:dyDescent="0.25">
      <c r="A343" t="s">
        <v>186</v>
      </c>
      <c r="B343" t="s">
        <v>139</v>
      </c>
      <c r="C343">
        <v>765000</v>
      </c>
      <c r="D343">
        <v>0</v>
      </c>
      <c r="E343">
        <v>1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3</v>
      </c>
    </row>
    <row r="344" spans="1:11" ht="15" customHeight="1" x14ac:dyDescent="0.25">
      <c r="A344" t="s">
        <v>177</v>
      </c>
      <c r="B344" t="s">
        <v>139</v>
      </c>
      <c r="C344">
        <v>900000</v>
      </c>
      <c r="D344">
        <v>1</v>
      </c>
      <c r="E344">
        <v>0</v>
      </c>
      <c r="F344">
        <v>0</v>
      </c>
      <c r="G344">
        <v>1</v>
      </c>
      <c r="H344">
        <v>0</v>
      </c>
      <c r="I344">
        <v>0</v>
      </c>
      <c r="J344">
        <v>0</v>
      </c>
      <c r="K344">
        <v>2</v>
      </c>
    </row>
    <row r="345" spans="1:11" ht="15" customHeight="1" x14ac:dyDescent="0.25">
      <c r="A345" t="s">
        <v>178</v>
      </c>
      <c r="B345" t="s">
        <v>139</v>
      </c>
      <c r="C345">
        <v>1000000</v>
      </c>
      <c r="D345">
        <v>0</v>
      </c>
      <c r="E345">
        <v>1</v>
      </c>
      <c r="F345">
        <v>0</v>
      </c>
      <c r="G345">
        <v>0</v>
      </c>
      <c r="H345">
        <v>1</v>
      </c>
      <c r="I345">
        <v>0</v>
      </c>
      <c r="J345">
        <v>0</v>
      </c>
      <c r="K345">
        <v>2</v>
      </c>
    </row>
    <row r="346" spans="1:11" ht="15" customHeight="1" x14ac:dyDescent="0.25">
      <c r="A346" t="s">
        <v>179</v>
      </c>
      <c r="B346" t="s">
        <v>139</v>
      </c>
      <c r="C346">
        <v>950000</v>
      </c>
      <c r="D346">
        <v>1</v>
      </c>
      <c r="E346">
        <v>0</v>
      </c>
      <c r="F346">
        <v>0</v>
      </c>
      <c r="G346">
        <v>1</v>
      </c>
      <c r="H346">
        <v>0</v>
      </c>
      <c r="I346">
        <v>0</v>
      </c>
      <c r="J346">
        <v>0</v>
      </c>
      <c r="K346">
        <v>2</v>
      </c>
    </row>
    <row r="347" spans="1:11" ht="15" customHeight="1" x14ac:dyDescent="0.25">
      <c r="A347" t="s">
        <v>180</v>
      </c>
      <c r="B347" t="s">
        <v>139</v>
      </c>
      <c r="C347">
        <v>1010000</v>
      </c>
      <c r="D347">
        <v>1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2</v>
      </c>
    </row>
    <row r="348" spans="1:11" ht="15" customHeight="1" x14ac:dyDescent="0.25">
      <c r="A348" t="s">
        <v>181</v>
      </c>
      <c r="B348" t="s">
        <v>139</v>
      </c>
      <c r="C348">
        <v>975000</v>
      </c>
      <c r="D348">
        <v>0</v>
      </c>
      <c r="E348">
        <v>1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2</v>
      </c>
    </row>
    <row r="349" spans="1:11" ht="15" customHeight="1" x14ac:dyDescent="0.25">
      <c r="A349" t="s">
        <v>182</v>
      </c>
      <c r="B349" t="s">
        <v>139</v>
      </c>
      <c r="C349">
        <v>1000000</v>
      </c>
      <c r="D349">
        <v>0</v>
      </c>
      <c r="E349">
        <v>1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2</v>
      </c>
    </row>
    <row r="350" spans="1:11" ht="15" customHeight="1" x14ac:dyDescent="0.25">
      <c r="A350" t="s">
        <v>183</v>
      </c>
      <c r="B350" t="s">
        <v>140</v>
      </c>
      <c r="C350">
        <v>900000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0</v>
      </c>
      <c r="J350">
        <v>0</v>
      </c>
      <c r="K350">
        <v>14</v>
      </c>
    </row>
    <row r="351" spans="1:11" ht="15" customHeight="1" x14ac:dyDescent="0.25">
      <c r="A351" t="s">
        <v>185</v>
      </c>
      <c r="B351" t="s">
        <v>140</v>
      </c>
      <c r="C351">
        <v>905000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0</v>
      </c>
      <c r="J351">
        <v>0</v>
      </c>
      <c r="K351">
        <v>14</v>
      </c>
    </row>
    <row r="352" spans="1:11" ht="15" customHeight="1" x14ac:dyDescent="0.25">
      <c r="A352" t="s">
        <v>186</v>
      </c>
      <c r="B352" t="s">
        <v>140</v>
      </c>
      <c r="C352">
        <v>910000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0</v>
      </c>
      <c r="J352">
        <v>0</v>
      </c>
      <c r="K352">
        <v>14</v>
      </c>
    </row>
    <row r="353" spans="1:11" ht="15" customHeight="1" x14ac:dyDescent="0.25">
      <c r="A353" t="s">
        <v>179</v>
      </c>
      <c r="B353" t="s">
        <v>140</v>
      </c>
      <c r="C353">
        <v>1200000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0</v>
      </c>
      <c r="J353">
        <v>0</v>
      </c>
      <c r="K353">
        <v>14</v>
      </c>
    </row>
    <row r="354" spans="1:11" ht="15" customHeight="1" x14ac:dyDescent="0.25">
      <c r="A354" t="s">
        <v>180</v>
      </c>
      <c r="B354" t="s">
        <v>140</v>
      </c>
      <c r="C354">
        <v>1205000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0</v>
      </c>
      <c r="J354">
        <v>0</v>
      </c>
      <c r="K354">
        <v>13</v>
      </c>
    </row>
    <row r="355" spans="1:11" ht="15" customHeight="1" x14ac:dyDescent="0.25">
      <c r="A355" t="s">
        <v>183</v>
      </c>
      <c r="B355" t="s">
        <v>141</v>
      </c>
      <c r="C355">
        <v>350000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0</v>
      </c>
      <c r="K355">
        <v>2</v>
      </c>
    </row>
    <row r="356" spans="1:11" ht="15" customHeight="1" x14ac:dyDescent="0.25">
      <c r="A356" t="s">
        <v>184</v>
      </c>
      <c r="B356" t="s">
        <v>141</v>
      </c>
      <c r="C356">
        <v>355000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0</v>
      </c>
      <c r="K356">
        <v>2</v>
      </c>
    </row>
    <row r="357" spans="1:11" ht="15" customHeight="1" x14ac:dyDescent="0.25">
      <c r="A357" t="s">
        <v>177</v>
      </c>
      <c r="B357" t="s">
        <v>141</v>
      </c>
      <c r="C357">
        <v>640000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0</v>
      </c>
      <c r="J357">
        <v>0</v>
      </c>
      <c r="K357">
        <v>2</v>
      </c>
    </row>
    <row r="358" spans="1:11" ht="15" customHeight="1" x14ac:dyDescent="0.25">
      <c r="A358" t="s">
        <v>180</v>
      </c>
      <c r="B358" t="s">
        <v>141</v>
      </c>
      <c r="C358">
        <v>550000</v>
      </c>
      <c r="D358">
        <v>0</v>
      </c>
      <c r="E358">
        <v>0</v>
      </c>
      <c r="F358">
        <v>1</v>
      </c>
      <c r="G358">
        <v>0</v>
      </c>
      <c r="H358">
        <v>0</v>
      </c>
      <c r="I358">
        <v>1</v>
      </c>
      <c r="J358">
        <v>0</v>
      </c>
      <c r="K358">
        <v>3</v>
      </c>
    </row>
    <row r="359" spans="1:11" ht="15" customHeight="1" x14ac:dyDescent="0.25">
      <c r="A359" t="s">
        <v>182</v>
      </c>
      <c r="B359" t="s">
        <v>141</v>
      </c>
      <c r="C359">
        <v>650000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0</v>
      </c>
      <c r="K359">
        <v>2</v>
      </c>
    </row>
    <row r="360" spans="1:11" ht="15" customHeight="1" x14ac:dyDescent="0.25">
      <c r="A360" t="s">
        <v>183</v>
      </c>
      <c r="B360" t="s">
        <v>142</v>
      </c>
      <c r="C360">
        <v>1200000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0</v>
      </c>
      <c r="J360">
        <v>0</v>
      </c>
      <c r="K360">
        <v>30</v>
      </c>
    </row>
    <row r="361" spans="1:11" ht="15" customHeight="1" x14ac:dyDescent="0.25">
      <c r="A361" t="s">
        <v>186</v>
      </c>
      <c r="B361" t="s">
        <v>142</v>
      </c>
      <c r="C361">
        <v>1200000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0</v>
      </c>
      <c r="J361">
        <v>0</v>
      </c>
      <c r="K361">
        <v>30</v>
      </c>
    </row>
    <row r="362" spans="1:11" ht="15" customHeight="1" x14ac:dyDescent="0.25">
      <c r="A362" t="s">
        <v>183</v>
      </c>
      <c r="B362" t="s">
        <v>143</v>
      </c>
      <c r="C362">
        <v>1100000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0</v>
      </c>
      <c r="J362">
        <v>0</v>
      </c>
      <c r="K362">
        <v>30</v>
      </c>
    </row>
    <row r="363" spans="1:11" ht="15" customHeight="1" x14ac:dyDescent="0.25">
      <c r="A363" t="s">
        <v>186</v>
      </c>
      <c r="B363" t="s">
        <v>143</v>
      </c>
      <c r="C363">
        <v>115000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0</v>
      </c>
      <c r="J363">
        <v>0</v>
      </c>
      <c r="K363">
        <v>30</v>
      </c>
    </row>
    <row r="364" spans="1:11" ht="15" customHeight="1" x14ac:dyDescent="0.25">
      <c r="A364" t="s">
        <v>183</v>
      </c>
      <c r="B364" t="s">
        <v>144</v>
      </c>
      <c r="C364">
        <v>130000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0</v>
      </c>
      <c r="K364">
        <v>1</v>
      </c>
    </row>
    <row r="365" spans="1:11" ht="15" customHeight="1" x14ac:dyDescent="0.25">
      <c r="A365" t="s">
        <v>184</v>
      </c>
      <c r="B365" t="s">
        <v>144</v>
      </c>
      <c r="C365">
        <v>135000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0</v>
      </c>
      <c r="K365">
        <v>1</v>
      </c>
    </row>
    <row r="366" spans="1:11" ht="15" customHeight="1" x14ac:dyDescent="0.25">
      <c r="A366" t="s">
        <v>185</v>
      </c>
      <c r="B366" t="s">
        <v>144</v>
      </c>
      <c r="C366">
        <v>135000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0</v>
      </c>
      <c r="K366">
        <v>1</v>
      </c>
    </row>
    <row r="367" spans="1:11" ht="15" customHeight="1" x14ac:dyDescent="0.25">
      <c r="A367" t="s">
        <v>186</v>
      </c>
      <c r="B367" t="s">
        <v>144</v>
      </c>
      <c r="C367">
        <v>130000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0</v>
      </c>
      <c r="K367">
        <v>1</v>
      </c>
    </row>
    <row r="368" spans="1:11" ht="15" customHeight="1" x14ac:dyDescent="0.25">
      <c r="A368" t="s">
        <v>177</v>
      </c>
      <c r="B368" t="s">
        <v>144</v>
      </c>
      <c r="C368">
        <v>150000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0</v>
      </c>
      <c r="K368">
        <v>1</v>
      </c>
    </row>
    <row r="369" spans="1:11" ht="15" customHeight="1" x14ac:dyDescent="0.25">
      <c r="A369" t="s">
        <v>178</v>
      </c>
      <c r="B369" t="s">
        <v>144</v>
      </c>
      <c r="C369">
        <v>150000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0</v>
      </c>
      <c r="K369">
        <v>1</v>
      </c>
    </row>
    <row r="370" spans="1:11" ht="15" customHeight="1" x14ac:dyDescent="0.25">
      <c r="A370" t="s">
        <v>179</v>
      </c>
      <c r="B370" t="s">
        <v>144</v>
      </c>
      <c r="C370">
        <v>160000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0</v>
      </c>
      <c r="K370">
        <v>1</v>
      </c>
    </row>
    <row r="371" spans="1:11" ht="15" customHeight="1" x14ac:dyDescent="0.25">
      <c r="A371" t="s">
        <v>180</v>
      </c>
      <c r="B371" t="s">
        <v>144</v>
      </c>
      <c r="C371">
        <v>150000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0</v>
      </c>
      <c r="K371">
        <v>1</v>
      </c>
    </row>
    <row r="372" spans="1:11" ht="15" customHeight="1" x14ac:dyDescent="0.25">
      <c r="A372" t="s">
        <v>181</v>
      </c>
      <c r="B372" t="s">
        <v>144</v>
      </c>
      <c r="C372">
        <v>155000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0</v>
      </c>
      <c r="K372">
        <v>1</v>
      </c>
    </row>
    <row r="373" spans="1:11" ht="15" customHeight="1" x14ac:dyDescent="0.25">
      <c r="A373" t="s">
        <v>182</v>
      </c>
      <c r="B373" t="s">
        <v>144</v>
      </c>
      <c r="C373">
        <v>150000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0</v>
      </c>
      <c r="K373">
        <v>1</v>
      </c>
    </row>
    <row r="374" spans="1:11" ht="15" customHeight="1" x14ac:dyDescent="0.25">
      <c r="A374" t="s">
        <v>185</v>
      </c>
      <c r="B374" t="s">
        <v>145</v>
      </c>
      <c r="C374">
        <v>800000</v>
      </c>
      <c r="D374">
        <v>0</v>
      </c>
      <c r="E374">
        <v>0</v>
      </c>
      <c r="F374">
        <v>0</v>
      </c>
      <c r="G374">
        <v>0</v>
      </c>
      <c r="H374">
        <v>1</v>
      </c>
      <c r="I374">
        <v>0</v>
      </c>
      <c r="J374">
        <v>0</v>
      </c>
      <c r="K374">
        <v>2</v>
      </c>
    </row>
    <row r="375" spans="1:11" ht="15" customHeight="1" x14ac:dyDescent="0.25">
      <c r="A375" t="s">
        <v>186</v>
      </c>
      <c r="B375" t="s">
        <v>145</v>
      </c>
      <c r="C375">
        <v>810000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2</v>
      </c>
    </row>
    <row r="376" spans="1:11" ht="15" customHeight="1" x14ac:dyDescent="0.25">
      <c r="A376" t="s">
        <v>179</v>
      </c>
      <c r="B376" t="s">
        <v>145</v>
      </c>
      <c r="C376">
        <v>1000000</v>
      </c>
      <c r="D376">
        <v>0</v>
      </c>
      <c r="E376">
        <v>1</v>
      </c>
      <c r="F376">
        <v>0</v>
      </c>
      <c r="G376">
        <v>0</v>
      </c>
      <c r="H376">
        <v>1</v>
      </c>
      <c r="I376">
        <v>0</v>
      </c>
      <c r="J376">
        <v>0</v>
      </c>
      <c r="K376">
        <v>3</v>
      </c>
    </row>
    <row r="377" spans="1:11" ht="15" customHeight="1" x14ac:dyDescent="0.25">
      <c r="A377" t="s">
        <v>185</v>
      </c>
      <c r="B377" t="s">
        <v>146</v>
      </c>
      <c r="C377">
        <v>800000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2</v>
      </c>
    </row>
    <row r="378" spans="1:11" ht="15" customHeight="1" x14ac:dyDescent="0.25">
      <c r="A378" t="s">
        <v>186</v>
      </c>
      <c r="B378" t="s">
        <v>146</v>
      </c>
      <c r="C378">
        <v>810000</v>
      </c>
      <c r="D378">
        <v>0</v>
      </c>
      <c r="E378">
        <v>0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2</v>
      </c>
    </row>
    <row r="379" spans="1:11" ht="15" customHeight="1" x14ac:dyDescent="0.25">
      <c r="A379" t="s">
        <v>179</v>
      </c>
      <c r="B379" t="s">
        <v>146</v>
      </c>
      <c r="C379">
        <v>1000000</v>
      </c>
      <c r="D379">
        <v>0</v>
      </c>
      <c r="E379">
        <v>0</v>
      </c>
      <c r="F379">
        <v>1</v>
      </c>
      <c r="G379">
        <v>0</v>
      </c>
      <c r="H379">
        <v>0</v>
      </c>
      <c r="I379">
        <v>0</v>
      </c>
      <c r="J379">
        <v>0</v>
      </c>
      <c r="K379">
        <v>2</v>
      </c>
    </row>
    <row r="380" spans="1:11" x14ac:dyDescent="0.25">
      <c r="A380" t="s">
        <v>183</v>
      </c>
      <c r="B380" t="s">
        <v>147</v>
      </c>
      <c r="C380">
        <v>355000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0</v>
      </c>
      <c r="K380">
        <v>1</v>
      </c>
    </row>
    <row r="381" spans="1:11" x14ac:dyDescent="0.25">
      <c r="A381" t="s">
        <v>184</v>
      </c>
      <c r="B381" t="s">
        <v>147</v>
      </c>
      <c r="C381">
        <v>380000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0</v>
      </c>
      <c r="K381">
        <v>1</v>
      </c>
    </row>
    <row r="382" spans="1:11" x14ac:dyDescent="0.25">
      <c r="A382" t="s">
        <v>185</v>
      </c>
      <c r="B382" t="s">
        <v>147</v>
      </c>
      <c r="C382">
        <v>365000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0</v>
      </c>
      <c r="K382">
        <v>1</v>
      </c>
    </row>
    <row r="383" spans="1:11" x14ac:dyDescent="0.25">
      <c r="A383" t="s">
        <v>186</v>
      </c>
      <c r="B383" t="s">
        <v>147</v>
      </c>
      <c r="C383">
        <v>370000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0</v>
      </c>
      <c r="K383">
        <v>1</v>
      </c>
    </row>
    <row r="384" spans="1:11" x14ac:dyDescent="0.25">
      <c r="A384" t="s">
        <v>182</v>
      </c>
      <c r="B384" t="s">
        <v>147</v>
      </c>
      <c r="C384">
        <v>550000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0</v>
      </c>
      <c r="J384">
        <v>0</v>
      </c>
      <c r="K384">
        <v>1</v>
      </c>
    </row>
    <row r="385" spans="1:11" ht="15" customHeight="1" x14ac:dyDescent="0.25">
      <c r="A385" t="s">
        <v>183</v>
      </c>
      <c r="B385" t="s">
        <v>148</v>
      </c>
      <c r="C385">
        <v>1000000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2</v>
      </c>
    </row>
    <row r="386" spans="1:11" ht="15" customHeight="1" x14ac:dyDescent="0.25">
      <c r="A386" t="s">
        <v>184</v>
      </c>
      <c r="B386" t="s">
        <v>148</v>
      </c>
      <c r="C386">
        <v>1200000</v>
      </c>
      <c r="D386">
        <v>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2</v>
      </c>
    </row>
    <row r="387" spans="1:11" ht="15" customHeight="1" x14ac:dyDescent="0.25">
      <c r="A387" t="s">
        <v>178</v>
      </c>
      <c r="B387" t="s">
        <v>148</v>
      </c>
      <c r="C387">
        <v>800000</v>
      </c>
      <c r="D387">
        <v>0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3</v>
      </c>
    </row>
    <row r="388" spans="1:11" ht="15" customHeight="1" x14ac:dyDescent="0.25">
      <c r="A388" t="s">
        <v>180</v>
      </c>
      <c r="B388" t="s">
        <v>148</v>
      </c>
      <c r="C388">
        <v>850000</v>
      </c>
      <c r="D388">
        <v>0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3</v>
      </c>
    </row>
    <row r="389" spans="1:11" ht="15" customHeight="1" x14ac:dyDescent="0.25">
      <c r="A389" t="s">
        <v>182</v>
      </c>
      <c r="B389" t="s">
        <v>148</v>
      </c>
      <c r="C389">
        <v>825000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0</v>
      </c>
      <c r="K389">
        <v>3</v>
      </c>
    </row>
    <row r="390" spans="1:11" ht="15" customHeight="1" x14ac:dyDescent="0.25">
      <c r="A390" t="s">
        <v>183</v>
      </c>
      <c r="B390" t="s">
        <v>149</v>
      </c>
      <c r="C390">
        <v>1800000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0</v>
      </c>
      <c r="K390">
        <v>2</v>
      </c>
    </row>
    <row r="391" spans="1:11" ht="15" customHeight="1" x14ac:dyDescent="0.25">
      <c r="A391" t="s">
        <v>184</v>
      </c>
      <c r="B391" t="s">
        <v>149</v>
      </c>
      <c r="C391">
        <v>1740000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0</v>
      </c>
      <c r="K391">
        <v>2</v>
      </c>
    </row>
    <row r="392" spans="1:11" ht="15" customHeight="1" x14ac:dyDescent="0.25">
      <c r="A392" t="s">
        <v>185</v>
      </c>
      <c r="B392" t="s">
        <v>149</v>
      </c>
      <c r="C392">
        <v>1730000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0</v>
      </c>
      <c r="K392">
        <v>2</v>
      </c>
    </row>
    <row r="393" spans="1:11" ht="15" customHeight="1" x14ac:dyDescent="0.25">
      <c r="A393" t="s">
        <v>186</v>
      </c>
      <c r="B393" t="s">
        <v>149</v>
      </c>
      <c r="C393">
        <v>1820000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0</v>
      </c>
      <c r="K393">
        <v>2</v>
      </c>
    </row>
    <row r="394" spans="1:11" ht="15" customHeight="1" x14ac:dyDescent="0.25">
      <c r="A394" t="s">
        <v>177</v>
      </c>
      <c r="B394" t="s">
        <v>149</v>
      </c>
      <c r="C394">
        <v>1700000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0</v>
      </c>
      <c r="J394">
        <v>0</v>
      </c>
      <c r="K394">
        <v>3</v>
      </c>
    </row>
    <row r="395" spans="1:11" ht="15" customHeight="1" x14ac:dyDescent="0.25">
      <c r="A395" t="s">
        <v>178</v>
      </c>
      <c r="B395" t="s">
        <v>149</v>
      </c>
      <c r="C395">
        <v>1680000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0</v>
      </c>
      <c r="J395">
        <v>0</v>
      </c>
      <c r="K395">
        <v>3</v>
      </c>
    </row>
    <row r="396" spans="1:11" ht="15" customHeight="1" x14ac:dyDescent="0.25">
      <c r="A396" t="s">
        <v>179</v>
      </c>
      <c r="B396" t="s">
        <v>149</v>
      </c>
      <c r="C396">
        <v>1675000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0</v>
      </c>
      <c r="J396">
        <v>0</v>
      </c>
      <c r="K396">
        <v>3</v>
      </c>
    </row>
    <row r="397" spans="1:11" ht="15" customHeight="1" x14ac:dyDescent="0.25">
      <c r="A397" t="s">
        <v>180</v>
      </c>
      <c r="B397" t="s">
        <v>149</v>
      </c>
      <c r="C397">
        <v>1710000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0</v>
      </c>
      <c r="J397">
        <v>0</v>
      </c>
      <c r="K397">
        <v>3</v>
      </c>
    </row>
    <row r="398" spans="1:11" ht="15" customHeight="1" x14ac:dyDescent="0.25">
      <c r="A398" t="s">
        <v>181</v>
      </c>
      <c r="B398" t="s">
        <v>149</v>
      </c>
      <c r="C398">
        <v>1300000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0</v>
      </c>
      <c r="J398">
        <v>0</v>
      </c>
      <c r="K398">
        <v>3</v>
      </c>
    </row>
    <row r="399" spans="1:11" ht="15" customHeight="1" x14ac:dyDescent="0.25">
      <c r="A399" t="s">
        <v>182</v>
      </c>
      <c r="B399" t="s">
        <v>149</v>
      </c>
      <c r="C399">
        <v>1500000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0</v>
      </c>
      <c r="J399">
        <v>0</v>
      </c>
      <c r="K399">
        <v>3</v>
      </c>
    </row>
    <row r="400" spans="1:11" ht="15" customHeight="1" x14ac:dyDescent="0.25">
      <c r="A400" t="s">
        <v>184</v>
      </c>
      <c r="B400" t="s">
        <v>150</v>
      </c>
      <c r="C400">
        <v>900000</v>
      </c>
      <c r="D400">
        <v>0</v>
      </c>
      <c r="E400">
        <v>1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2</v>
      </c>
    </row>
    <row r="401" spans="1:11" ht="15" customHeight="1" x14ac:dyDescent="0.25">
      <c r="A401" t="s">
        <v>186</v>
      </c>
      <c r="B401" t="s">
        <v>150</v>
      </c>
      <c r="C401">
        <v>860000</v>
      </c>
      <c r="D401">
        <v>1</v>
      </c>
      <c r="E401">
        <v>0</v>
      </c>
      <c r="F401">
        <v>0</v>
      </c>
      <c r="G401">
        <v>1</v>
      </c>
      <c r="H401">
        <v>0</v>
      </c>
      <c r="I401">
        <v>0</v>
      </c>
      <c r="J401">
        <v>0</v>
      </c>
      <c r="K401">
        <v>2</v>
      </c>
    </row>
    <row r="402" spans="1:11" ht="15" customHeight="1" x14ac:dyDescent="0.25">
      <c r="A402" t="s">
        <v>177</v>
      </c>
      <c r="B402" t="s">
        <v>150</v>
      </c>
      <c r="C402">
        <v>890000</v>
      </c>
      <c r="D402">
        <v>0</v>
      </c>
      <c r="E402">
        <v>1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2</v>
      </c>
    </row>
    <row r="403" spans="1:11" ht="15" customHeight="1" x14ac:dyDescent="0.25">
      <c r="A403" t="s">
        <v>178</v>
      </c>
      <c r="B403" t="s">
        <v>150</v>
      </c>
      <c r="C403">
        <v>875000</v>
      </c>
      <c r="D403">
        <v>1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2</v>
      </c>
    </row>
    <row r="404" spans="1:11" ht="15" customHeight="1" x14ac:dyDescent="0.25">
      <c r="A404" t="s">
        <v>180</v>
      </c>
      <c r="B404" t="s">
        <v>150</v>
      </c>
      <c r="C404">
        <v>900000</v>
      </c>
      <c r="D404">
        <v>0</v>
      </c>
      <c r="E404">
        <v>1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2</v>
      </c>
    </row>
    <row r="405" spans="1:11" ht="15" customHeight="1" x14ac:dyDescent="0.25">
      <c r="A405" t="s">
        <v>181</v>
      </c>
      <c r="B405" t="s">
        <v>150</v>
      </c>
      <c r="C405">
        <v>880000</v>
      </c>
      <c r="D405">
        <v>0</v>
      </c>
      <c r="E405">
        <v>0</v>
      </c>
      <c r="F405">
        <v>1</v>
      </c>
      <c r="G405">
        <v>0</v>
      </c>
      <c r="H405">
        <v>0</v>
      </c>
      <c r="I405">
        <v>0</v>
      </c>
      <c r="J405">
        <v>0</v>
      </c>
      <c r="K405">
        <v>2</v>
      </c>
    </row>
    <row r="406" spans="1:11" ht="15" customHeight="1" x14ac:dyDescent="0.25">
      <c r="A406" t="s">
        <v>182</v>
      </c>
      <c r="B406" t="s">
        <v>150</v>
      </c>
      <c r="C406">
        <v>875000</v>
      </c>
      <c r="D406">
        <v>0</v>
      </c>
      <c r="E406">
        <v>0</v>
      </c>
      <c r="F406">
        <v>0</v>
      </c>
      <c r="G406">
        <v>1</v>
      </c>
      <c r="H406">
        <v>0</v>
      </c>
      <c r="I406">
        <v>0</v>
      </c>
      <c r="J406">
        <v>0</v>
      </c>
      <c r="K406">
        <v>2</v>
      </c>
    </row>
    <row r="407" spans="1:11" ht="15" customHeight="1" x14ac:dyDescent="0.25">
      <c r="A407" t="s">
        <v>183</v>
      </c>
      <c r="B407" t="s">
        <v>151</v>
      </c>
      <c r="C407">
        <v>1000000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0</v>
      </c>
      <c r="K407">
        <v>1</v>
      </c>
    </row>
    <row r="408" spans="1:11" ht="15" customHeight="1" x14ac:dyDescent="0.25">
      <c r="A408" t="s">
        <v>184</v>
      </c>
      <c r="B408" t="s">
        <v>151</v>
      </c>
      <c r="C408">
        <v>900000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0</v>
      </c>
      <c r="K408">
        <v>1</v>
      </c>
    </row>
    <row r="409" spans="1:11" ht="15" customHeight="1" x14ac:dyDescent="0.25">
      <c r="A409" t="s">
        <v>185</v>
      </c>
      <c r="B409" t="s">
        <v>151</v>
      </c>
      <c r="C409">
        <v>1100000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0</v>
      </c>
      <c r="K409">
        <v>1</v>
      </c>
    </row>
    <row r="410" spans="1:11" ht="15" customHeight="1" x14ac:dyDescent="0.25">
      <c r="A410" t="s">
        <v>186</v>
      </c>
      <c r="B410" t="s">
        <v>151</v>
      </c>
      <c r="C410">
        <v>950000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0</v>
      </c>
      <c r="K410">
        <v>1</v>
      </c>
    </row>
    <row r="411" spans="1:11" ht="15" customHeight="1" x14ac:dyDescent="0.25">
      <c r="A411" t="s">
        <v>182</v>
      </c>
      <c r="B411" t="s">
        <v>151</v>
      </c>
      <c r="C411">
        <v>1250000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0</v>
      </c>
      <c r="J411">
        <v>0</v>
      </c>
      <c r="K411">
        <v>1</v>
      </c>
    </row>
    <row r="412" spans="1:11" ht="15" customHeight="1" x14ac:dyDescent="0.25">
      <c r="A412" t="s">
        <v>184</v>
      </c>
      <c r="B412" t="s">
        <v>152</v>
      </c>
      <c r="C412">
        <v>1500000</v>
      </c>
      <c r="D412">
        <v>1</v>
      </c>
      <c r="E412">
        <v>0</v>
      </c>
      <c r="F412">
        <v>0</v>
      </c>
      <c r="G412">
        <v>1</v>
      </c>
      <c r="H412">
        <v>0</v>
      </c>
      <c r="I412">
        <v>0</v>
      </c>
      <c r="J412">
        <v>0</v>
      </c>
      <c r="K412">
        <v>2</v>
      </c>
    </row>
    <row r="413" spans="1:11" ht="15" customHeight="1" x14ac:dyDescent="0.25">
      <c r="A413" t="s">
        <v>186</v>
      </c>
      <c r="B413" t="s">
        <v>152</v>
      </c>
      <c r="C413">
        <v>1800000</v>
      </c>
      <c r="D413">
        <v>0</v>
      </c>
      <c r="E413">
        <v>1</v>
      </c>
      <c r="F413">
        <v>0</v>
      </c>
      <c r="G413">
        <v>0</v>
      </c>
      <c r="H413">
        <v>1</v>
      </c>
      <c r="I413">
        <v>0</v>
      </c>
      <c r="J413">
        <v>0</v>
      </c>
      <c r="K413">
        <v>2</v>
      </c>
    </row>
    <row r="414" spans="1:11" ht="15" customHeight="1" x14ac:dyDescent="0.25">
      <c r="A414" t="s">
        <v>177</v>
      </c>
      <c r="B414" t="s">
        <v>152</v>
      </c>
      <c r="C414">
        <v>1770000</v>
      </c>
      <c r="D414">
        <v>1</v>
      </c>
      <c r="E414">
        <v>0</v>
      </c>
      <c r="F414">
        <v>0</v>
      </c>
      <c r="G414">
        <v>1</v>
      </c>
      <c r="H414">
        <v>0</v>
      </c>
      <c r="I414">
        <v>0</v>
      </c>
      <c r="J414">
        <v>0</v>
      </c>
      <c r="K414">
        <v>2</v>
      </c>
    </row>
    <row r="415" spans="1:11" ht="15" customHeight="1" x14ac:dyDescent="0.25">
      <c r="A415" t="s">
        <v>179</v>
      </c>
      <c r="B415" t="s">
        <v>152</v>
      </c>
      <c r="C415">
        <v>1825000</v>
      </c>
      <c r="D415">
        <v>0</v>
      </c>
      <c r="E415">
        <v>1</v>
      </c>
      <c r="F415">
        <v>0</v>
      </c>
      <c r="G415">
        <v>0</v>
      </c>
      <c r="H415">
        <v>1</v>
      </c>
      <c r="I415">
        <v>0</v>
      </c>
      <c r="J415">
        <v>0</v>
      </c>
      <c r="K415">
        <v>2</v>
      </c>
    </row>
    <row r="416" spans="1:11" ht="15" customHeight="1" x14ac:dyDescent="0.25">
      <c r="A416" t="s">
        <v>180</v>
      </c>
      <c r="B416" t="s">
        <v>152</v>
      </c>
      <c r="C416">
        <v>1600000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0</v>
      </c>
      <c r="J416">
        <v>0</v>
      </c>
      <c r="K416">
        <v>2</v>
      </c>
    </row>
    <row r="417" spans="1:11" ht="15" customHeight="1" x14ac:dyDescent="0.25">
      <c r="A417" t="s">
        <v>182</v>
      </c>
      <c r="B417" t="s">
        <v>152</v>
      </c>
      <c r="C417">
        <v>1750000</v>
      </c>
      <c r="D417">
        <v>0</v>
      </c>
      <c r="E417">
        <v>1</v>
      </c>
      <c r="F417">
        <v>0</v>
      </c>
      <c r="G417">
        <v>0</v>
      </c>
      <c r="H417">
        <v>1</v>
      </c>
      <c r="I417">
        <v>0</v>
      </c>
      <c r="J417">
        <v>0</v>
      </c>
      <c r="K417">
        <v>2</v>
      </c>
    </row>
    <row r="418" spans="1:11" ht="15" customHeight="1" x14ac:dyDescent="0.25">
      <c r="A418" t="s">
        <v>184</v>
      </c>
      <c r="B418" t="s">
        <v>153</v>
      </c>
      <c r="C418">
        <v>1275000</v>
      </c>
      <c r="D418">
        <v>0</v>
      </c>
      <c r="E418">
        <v>1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2</v>
      </c>
    </row>
    <row r="419" spans="1:11" ht="15" customHeight="1" x14ac:dyDescent="0.25">
      <c r="A419" t="s">
        <v>186</v>
      </c>
      <c r="B419" t="s">
        <v>153</v>
      </c>
      <c r="C419">
        <v>1600000</v>
      </c>
      <c r="D419">
        <v>1</v>
      </c>
      <c r="E419">
        <v>0</v>
      </c>
      <c r="F419">
        <v>0</v>
      </c>
      <c r="G419">
        <v>1</v>
      </c>
      <c r="H419">
        <v>0</v>
      </c>
      <c r="I419">
        <v>0</v>
      </c>
      <c r="J419">
        <v>0</v>
      </c>
      <c r="K419">
        <v>2</v>
      </c>
    </row>
    <row r="420" spans="1:11" ht="15" customHeight="1" x14ac:dyDescent="0.25">
      <c r="A420" t="s">
        <v>177</v>
      </c>
      <c r="B420" t="s">
        <v>153</v>
      </c>
      <c r="C420">
        <v>1550000</v>
      </c>
      <c r="D420">
        <v>0</v>
      </c>
      <c r="E420">
        <v>1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2</v>
      </c>
    </row>
    <row r="421" spans="1:11" ht="15" customHeight="1" x14ac:dyDescent="0.25">
      <c r="A421" t="s">
        <v>179</v>
      </c>
      <c r="B421" t="s">
        <v>153</v>
      </c>
      <c r="C421">
        <v>1550000</v>
      </c>
      <c r="D421">
        <v>1</v>
      </c>
      <c r="E421">
        <v>0</v>
      </c>
      <c r="F421">
        <v>0</v>
      </c>
      <c r="G421">
        <v>1</v>
      </c>
      <c r="H421">
        <v>0</v>
      </c>
      <c r="I421">
        <v>0</v>
      </c>
      <c r="J421">
        <v>0</v>
      </c>
      <c r="K421">
        <v>2</v>
      </c>
    </row>
    <row r="422" spans="1:11" ht="15" customHeight="1" x14ac:dyDescent="0.25">
      <c r="A422" t="s">
        <v>180</v>
      </c>
      <c r="B422" t="s">
        <v>153</v>
      </c>
      <c r="C422">
        <v>1480000</v>
      </c>
      <c r="D422">
        <v>0</v>
      </c>
      <c r="E422">
        <v>1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2</v>
      </c>
    </row>
    <row r="423" spans="1:11" ht="15" customHeight="1" x14ac:dyDescent="0.25">
      <c r="A423" t="s">
        <v>182</v>
      </c>
      <c r="B423" t="s">
        <v>153</v>
      </c>
      <c r="C423">
        <v>1500000</v>
      </c>
      <c r="D423">
        <v>1</v>
      </c>
      <c r="E423">
        <v>0</v>
      </c>
      <c r="F423">
        <v>0</v>
      </c>
      <c r="G423">
        <v>1</v>
      </c>
      <c r="H423">
        <v>0</v>
      </c>
      <c r="I423">
        <v>0</v>
      </c>
      <c r="J423">
        <v>0</v>
      </c>
      <c r="K423">
        <v>2</v>
      </c>
    </row>
    <row r="424" spans="1:11" ht="15" customHeight="1" x14ac:dyDescent="0.25">
      <c r="A424" t="s">
        <v>183</v>
      </c>
      <c r="B424" t="s">
        <v>154</v>
      </c>
      <c r="C424">
        <v>100000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0</v>
      </c>
      <c r="K424">
        <v>2</v>
      </c>
    </row>
    <row r="425" spans="1:11" ht="15" customHeight="1" x14ac:dyDescent="0.25">
      <c r="A425" t="s">
        <v>184</v>
      </c>
      <c r="B425" t="s">
        <v>154</v>
      </c>
      <c r="C425">
        <v>125000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0</v>
      </c>
      <c r="K425">
        <v>1</v>
      </c>
    </row>
    <row r="426" spans="1:11" ht="15" customHeight="1" x14ac:dyDescent="0.25">
      <c r="A426" t="s">
        <v>185</v>
      </c>
      <c r="B426" t="s">
        <v>154</v>
      </c>
      <c r="C426">
        <v>130000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0</v>
      </c>
      <c r="K426">
        <v>1</v>
      </c>
    </row>
    <row r="427" spans="1:11" ht="15" customHeight="1" x14ac:dyDescent="0.25">
      <c r="A427" t="s">
        <v>186</v>
      </c>
      <c r="B427" t="s">
        <v>154</v>
      </c>
      <c r="C427">
        <v>150000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0</v>
      </c>
      <c r="K427">
        <v>1</v>
      </c>
    </row>
    <row r="428" spans="1:11" ht="15" customHeight="1" x14ac:dyDescent="0.25">
      <c r="A428" t="s">
        <v>177</v>
      </c>
      <c r="B428" t="s">
        <v>154</v>
      </c>
      <c r="C428">
        <v>200000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0</v>
      </c>
      <c r="J428">
        <v>0</v>
      </c>
      <c r="K428">
        <v>1</v>
      </c>
    </row>
    <row r="429" spans="1:11" ht="15" customHeight="1" x14ac:dyDescent="0.25">
      <c r="A429" t="s">
        <v>178</v>
      </c>
      <c r="B429" t="s">
        <v>154</v>
      </c>
      <c r="C429">
        <v>180000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0</v>
      </c>
      <c r="J429">
        <v>0</v>
      </c>
      <c r="K429">
        <v>1</v>
      </c>
    </row>
    <row r="430" spans="1:11" ht="15" customHeight="1" x14ac:dyDescent="0.25">
      <c r="A430" t="s">
        <v>180</v>
      </c>
      <c r="B430" t="s">
        <v>154</v>
      </c>
      <c r="C430">
        <v>210000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0</v>
      </c>
      <c r="J430">
        <v>0</v>
      </c>
      <c r="K430">
        <v>1</v>
      </c>
    </row>
    <row r="431" spans="1:11" ht="15" customHeight="1" x14ac:dyDescent="0.25">
      <c r="A431" t="s">
        <v>181</v>
      </c>
      <c r="B431" t="s">
        <v>154</v>
      </c>
      <c r="C431">
        <v>200000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0</v>
      </c>
      <c r="J431">
        <v>0</v>
      </c>
      <c r="K431">
        <v>1</v>
      </c>
    </row>
    <row r="432" spans="1:11" ht="15" customHeight="1" x14ac:dyDescent="0.25">
      <c r="A432" t="s">
        <v>182</v>
      </c>
      <c r="B432" t="s">
        <v>154</v>
      </c>
      <c r="C432">
        <v>190000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0</v>
      </c>
      <c r="J432">
        <v>0</v>
      </c>
      <c r="K432">
        <v>1</v>
      </c>
    </row>
    <row r="433" spans="1:11" ht="15" customHeight="1" x14ac:dyDescent="0.25">
      <c r="A433" t="s">
        <v>183</v>
      </c>
      <c r="B433" t="s">
        <v>155</v>
      </c>
      <c r="C433">
        <v>690000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</v>
      </c>
      <c r="J433">
        <v>0</v>
      </c>
      <c r="K433">
        <v>1</v>
      </c>
    </row>
    <row r="434" spans="1:11" ht="15" customHeight="1" x14ac:dyDescent="0.25">
      <c r="A434" t="s">
        <v>184</v>
      </c>
      <c r="B434" t="s">
        <v>155</v>
      </c>
      <c r="C434">
        <v>670000</v>
      </c>
      <c r="D434">
        <v>1</v>
      </c>
      <c r="E434">
        <v>0</v>
      </c>
      <c r="F434">
        <v>1</v>
      </c>
      <c r="G434">
        <v>0</v>
      </c>
      <c r="H434">
        <v>1</v>
      </c>
      <c r="I434">
        <v>0</v>
      </c>
      <c r="J434">
        <v>0</v>
      </c>
      <c r="K434">
        <v>1</v>
      </c>
    </row>
    <row r="435" spans="1:11" ht="15" customHeight="1" x14ac:dyDescent="0.25">
      <c r="A435" t="s">
        <v>185</v>
      </c>
      <c r="B435" t="s">
        <v>155</v>
      </c>
      <c r="C435">
        <v>680000</v>
      </c>
      <c r="D435">
        <v>0</v>
      </c>
      <c r="E435">
        <v>1</v>
      </c>
      <c r="F435">
        <v>0</v>
      </c>
      <c r="G435">
        <v>1</v>
      </c>
      <c r="H435">
        <v>0</v>
      </c>
      <c r="I435">
        <v>0</v>
      </c>
      <c r="J435">
        <v>0</v>
      </c>
      <c r="K435">
        <v>1</v>
      </c>
    </row>
    <row r="436" spans="1:11" ht="15" customHeight="1" x14ac:dyDescent="0.25">
      <c r="A436" t="s">
        <v>186</v>
      </c>
      <c r="B436" t="s">
        <v>155</v>
      </c>
      <c r="C436">
        <v>675000</v>
      </c>
      <c r="D436">
        <v>1</v>
      </c>
      <c r="E436">
        <v>0</v>
      </c>
      <c r="F436">
        <v>1</v>
      </c>
      <c r="G436">
        <v>0</v>
      </c>
      <c r="H436">
        <v>1</v>
      </c>
      <c r="I436">
        <v>0</v>
      </c>
      <c r="J436">
        <v>0</v>
      </c>
      <c r="K436">
        <v>1</v>
      </c>
    </row>
    <row r="437" spans="1:11" ht="15" customHeight="1" x14ac:dyDescent="0.25">
      <c r="A437" t="s">
        <v>177</v>
      </c>
      <c r="B437" t="s">
        <v>155</v>
      </c>
      <c r="C437">
        <v>900000</v>
      </c>
      <c r="D437">
        <v>1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1</v>
      </c>
    </row>
    <row r="438" spans="1:11" ht="15" customHeight="1" x14ac:dyDescent="0.25">
      <c r="A438" t="s">
        <v>178</v>
      </c>
      <c r="B438" t="s">
        <v>155</v>
      </c>
      <c r="C438">
        <v>880000</v>
      </c>
      <c r="D438">
        <v>0</v>
      </c>
      <c r="E438">
        <v>1</v>
      </c>
      <c r="F438">
        <v>0</v>
      </c>
      <c r="G438">
        <v>1</v>
      </c>
      <c r="H438">
        <v>0</v>
      </c>
      <c r="I438">
        <v>0</v>
      </c>
      <c r="J438">
        <v>0</v>
      </c>
      <c r="K438">
        <v>1</v>
      </c>
    </row>
    <row r="439" spans="1:11" ht="15" customHeight="1" x14ac:dyDescent="0.25">
      <c r="A439" t="s">
        <v>179</v>
      </c>
      <c r="B439" t="s">
        <v>155</v>
      </c>
      <c r="C439">
        <v>920000</v>
      </c>
      <c r="D439">
        <v>0</v>
      </c>
      <c r="E439">
        <v>0</v>
      </c>
      <c r="F439">
        <v>1</v>
      </c>
      <c r="G439">
        <v>0</v>
      </c>
      <c r="H439">
        <v>0</v>
      </c>
      <c r="I439">
        <v>0</v>
      </c>
      <c r="J439">
        <v>0</v>
      </c>
      <c r="K439">
        <v>1</v>
      </c>
    </row>
    <row r="440" spans="1:11" ht="15" customHeight="1" x14ac:dyDescent="0.25">
      <c r="A440" t="s">
        <v>180</v>
      </c>
      <c r="B440" t="s">
        <v>155</v>
      </c>
      <c r="C440">
        <v>870000</v>
      </c>
      <c r="D440">
        <v>1</v>
      </c>
      <c r="E440">
        <v>0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1</v>
      </c>
    </row>
    <row r="441" spans="1:11" ht="15" customHeight="1" x14ac:dyDescent="0.25">
      <c r="A441" t="s">
        <v>181</v>
      </c>
      <c r="B441" t="s">
        <v>155</v>
      </c>
      <c r="C441">
        <v>915000</v>
      </c>
      <c r="D441">
        <v>0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1</v>
      </c>
    </row>
    <row r="442" spans="1:11" ht="15" customHeight="1" x14ac:dyDescent="0.25">
      <c r="A442" t="s">
        <v>182</v>
      </c>
      <c r="B442" t="s">
        <v>155</v>
      </c>
      <c r="C442">
        <v>900000</v>
      </c>
      <c r="D442">
        <v>1</v>
      </c>
      <c r="E442">
        <v>0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1</v>
      </c>
    </row>
    <row r="443" spans="1:11" ht="15" customHeight="1" x14ac:dyDescent="0.25">
      <c r="A443" t="s">
        <v>183</v>
      </c>
      <c r="B443" t="s">
        <v>156</v>
      </c>
      <c r="C443">
        <v>1300000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0</v>
      </c>
      <c r="J443">
        <v>0</v>
      </c>
      <c r="K443">
        <v>4</v>
      </c>
    </row>
    <row r="444" spans="1:11" ht="15" customHeight="1" x14ac:dyDescent="0.25">
      <c r="A444" t="s">
        <v>184</v>
      </c>
      <c r="B444" t="s">
        <v>156</v>
      </c>
      <c r="C444">
        <v>1250000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0</v>
      </c>
      <c r="J444">
        <v>0</v>
      </c>
      <c r="K444">
        <v>5</v>
      </c>
    </row>
    <row r="445" spans="1:11" ht="15" customHeight="1" x14ac:dyDescent="0.25">
      <c r="A445" t="s">
        <v>185</v>
      </c>
      <c r="B445" t="s">
        <v>156</v>
      </c>
      <c r="C445">
        <v>1275000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0</v>
      </c>
      <c r="J445">
        <v>0</v>
      </c>
      <c r="K445">
        <v>5</v>
      </c>
    </row>
    <row r="446" spans="1:11" ht="15" customHeight="1" x14ac:dyDescent="0.25">
      <c r="A446" t="s">
        <v>186</v>
      </c>
      <c r="B446" t="s">
        <v>156</v>
      </c>
      <c r="C446">
        <v>1290000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0</v>
      </c>
      <c r="J446">
        <v>0</v>
      </c>
      <c r="K446">
        <v>4</v>
      </c>
    </row>
    <row r="447" spans="1:11" ht="15" customHeight="1" x14ac:dyDescent="0.25">
      <c r="A447" t="s">
        <v>177</v>
      </c>
      <c r="B447" t="s">
        <v>156</v>
      </c>
      <c r="C447">
        <v>1600000</v>
      </c>
      <c r="D447">
        <v>0</v>
      </c>
      <c r="E447">
        <v>0</v>
      </c>
      <c r="F447">
        <v>1</v>
      </c>
      <c r="G447">
        <v>0</v>
      </c>
      <c r="H447">
        <v>0</v>
      </c>
      <c r="I447">
        <v>0</v>
      </c>
      <c r="J447">
        <v>0</v>
      </c>
      <c r="K447">
        <v>1</v>
      </c>
    </row>
    <row r="448" spans="1:11" ht="15" customHeight="1" x14ac:dyDescent="0.25">
      <c r="A448" t="s">
        <v>178</v>
      </c>
      <c r="B448" t="s">
        <v>156</v>
      </c>
      <c r="C448">
        <v>1700000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0</v>
      </c>
      <c r="J448">
        <v>0</v>
      </c>
      <c r="K448">
        <v>4</v>
      </c>
    </row>
    <row r="449" spans="1:11" ht="15" customHeight="1" x14ac:dyDescent="0.25">
      <c r="A449" t="s">
        <v>179</v>
      </c>
      <c r="B449" t="s">
        <v>156</v>
      </c>
      <c r="C449">
        <v>1580000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1</v>
      </c>
    </row>
    <row r="450" spans="1:11" ht="15" customHeight="1" x14ac:dyDescent="0.25">
      <c r="A450" t="s">
        <v>180</v>
      </c>
      <c r="B450" t="s">
        <v>156</v>
      </c>
      <c r="C450">
        <v>1670000</v>
      </c>
      <c r="D450">
        <v>1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</row>
    <row r="451" spans="1:11" ht="15" customHeight="1" x14ac:dyDescent="0.25">
      <c r="A451" t="s">
        <v>181</v>
      </c>
      <c r="B451" t="s">
        <v>156</v>
      </c>
      <c r="C451">
        <v>1590000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1</v>
      </c>
    </row>
    <row r="452" spans="1:11" ht="15" customHeight="1" x14ac:dyDescent="0.25">
      <c r="A452" t="s">
        <v>182</v>
      </c>
      <c r="B452" t="s">
        <v>156</v>
      </c>
      <c r="C452">
        <v>1650000</v>
      </c>
      <c r="D452">
        <v>0</v>
      </c>
      <c r="E452">
        <v>0</v>
      </c>
      <c r="F452">
        <v>1</v>
      </c>
      <c r="G452">
        <v>0</v>
      </c>
      <c r="H452">
        <v>0</v>
      </c>
      <c r="I452">
        <v>0</v>
      </c>
      <c r="J452">
        <v>0</v>
      </c>
      <c r="K452">
        <v>1</v>
      </c>
    </row>
    <row r="453" spans="1:11" ht="15" customHeight="1" x14ac:dyDescent="0.25">
      <c r="A453" t="s">
        <v>183</v>
      </c>
      <c r="B453" t="s">
        <v>157</v>
      </c>
      <c r="C453">
        <v>1500000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</v>
      </c>
      <c r="K453">
        <v>1</v>
      </c>
    </row>
    <row r="454" spans="1:11" ht="15" customHeight="1" x14ac:dyDescent="0.25">
      <c r="A454" t="s">
        <v>184</v>
      </c>
      <c r="B454" t="s">
        <v>157</v>
      </c>
      <c r="C454">
        <v>1565000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0</v>
      </c>
      <c r="K454">
        <v>1</v>
      </c>
    </row>
    <row r="455" spans="1:11" ht="15" customHeight="1" x14ac:dyDescent="0.25">
      <c r="A455" t="s">
        <v>185</v>
      </c>
      <c r="B455" t="s">
        <v>157</v>
      </c>
      <c r="C455">
        <v>1600000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0</v>
      </c>
      <c r="K455">
        <v>1</v>
      </c>
    </row>
    <row r="456" spans="1:11" ht="15" customHeight="1" x14ac:dyDescent="0.25">
      <c r="A456" t="s">
        <v>186</v>
      </c>
      <c r="B456" t="s">
        <v>157</v>
      </c>
      <c r="C456">
        <v>1580000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0</v>
      </c>
      <c r="K456">
        <v>1</v>
      </c>
    </row>
    <row r="457" spans="1:11" ht="15" customHeight="1" x14ac:dyDescent="0.25">
      <c r="A457" t="s">
        <v>181</v>
      </c>
      <c r="B457" t="s">
        <v>157</v>
      </c>
      <c r="C457">
        <v>2000000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0</v>
      </c>
      <c r="J457">
        <v>0</v>
      </c>
      <c r="K457">
        <v>4</v>
      </c>
    </row>
    <row r="458" spans="1:11" ht="15" customHeight="1" x14ac:dyDescent="0.25">
      <c r="A458" t="s">
        <v>182</v>
      </c>
      <c r="B458" t="s">
        <v>157</v>
      </c>
      <c r="C458">
        <v>1885000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0</v>
      </c>
      <c r="J458">
        <v>0</v>
      </c>
      <c r="K458">
        <v>3</v>
      </c>
    </row>
    <row r="459" spans="1:11" ht="15" customHeight="1" x14ac:dyDescent="0.25">
      <c r="A459" t="s">
        <v>183</v>
      </c>
      <c r="B459" t="s">
        <v>158</v>
      </c>
      <c r="C459">
        <v>700000</v>
      </c>
      <c r="D459">
        <v>0</v>
      </c>
      <c r="E459">
        <v>1</v>
      </c>
      <c r="F459">
        <v>0</v>
      </c>
      <c r="G459">
        <v>0</v>
      </c>
      <c r="H459">
        <v>1</v>
      </c>
      <c r="I459">
        <v>0</v>
      </c>
      <c r="J459">
        <v>0</v>
      </c>
      <c r="K459">
        <v>1</v>
      </c>
    </row>
    <row r="460" spans="1:11" ht="15" customHeight="1" x14ac:dyDescent="0.25">
      <c r="A460" t="s">
        <v>184</v>
      </c>
      <c r="B460" t="s">
        <v>158</v>
      </c>
      <c r="C460">
        <v>675000</v>
      </c>
      <c r="D460">
        <v>0</v>
      </c>
      <c r="E460">
        <v>1</v>
      </c>
      <c r="F460">
        <v>0</v>
      </c>
      <c r="G460">
        <v>0</v>
      </c>
      <c r="H460">
        <v>1</v>
      </c>
      <c r="I460">
        <v>0</v>
      </c>
      <c r="J460">
        <v>0</v>
      </c>
      <c r="K460">
        <v>1</v>
      </c>
    </row>
    <row r="461" spans="1:11" ht="15" customHeight="1" x14ac:dyDescent="0.25">
      <c r="A461" t="s">
        <v>186</v>
      </c>
      <c r="B461" t="s">
        <v>158</v>
      </c>
      <c r="C461">
        <v>650000</v>
      </c>
      <c r="D461">
        <v>1</v>
      </c>
      <c r="E461">
        <v>0</v>
      </c>
      <c r="F461">
        <v>0</v>
      </c>
      <c r="G461">
        <v>1</v>
      </c>
      <c r="H461">
        <v>0</v>
      </c>
      <c r="I461">
        <v>0</v>
      </c>
      <c r="J461">
        <v>0</v>
      </c>
      <c r="K461">
        <v>1</v>
      </c>
    </row>
    <row r="462" spans="1:11" ht="15" customHeight="1" x14ac:dyDescent="0.25">
      <c r="A462" t="s">
        <v>177</v>
      </c>
      <c r="B462" t="s">
        <v>158</v>
      </c>
      <c r="C462">
        <v>700000</v>
      </c>
      <c r="D462">
        <v>0</v>
      </c>
      <c r="E462">
        <v>1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</row>
    <row r="463" spans="1:11" ht="15" customHeight="1" x14ac:dyDescent="0.25">
      <c r="A463" t="s">
        <v>179</v>
      </c>
      <c r="B463" t="s">
        <v>158</v>
      </c>
      <c r="C463">
        <v>650000</v>
      </c>
      <c r="D463">
        <v>1</v>
      </c>
      <c r="E463">
        <v>0</v>
      </c>
      <c r="F463">
        <v>0</v>
      </c>
      <c r="G463">
        <v>1</v>
      </c>
      <c r="H463">
        <v>0</v>
      </c>
      <c r="I463">
        <v>0</v>
      </c>
      <c r="J463">
        <v>0</v>
      </c>
      <c r="K463">
        <v>1</v>
      </c>
    </row>
    <row r="464" spans="1:11" ht="15" customHeight="1" x14ac:dyDescent="0.25">
      <c r="A464" t="s">
        <v>180</v>
      </c>
      <c r="B464" t="s">
        <v>158</v>
      </c>
      <c r="C464">
        <v>685000</v>
      </c>
      <c r="D464">
        <v>0</v>
      </c>
      <c r="E464">
        <v>1</v>
      </c>
      <c r="F464">
        <v>0</v>
      </c>
      <c r="G464">
        <v>0</v>
      </c>
      <c r="H464">
        <v>1</v>
      </c>
      <c r="I464">
        <v>0</v>
      </c>
      <c r="J464">
        <v>0</v>
      </c>
      <c r="K464">
        <v>1</v>
      </c>
    </row>
    <row r="465" spans="1:11" ht="15" customHeight="1" x14ac:dyDescent="0.25">
      <c r="A465" t="s">
        <v>181</v>
      </c>
      <c r="B465" t="s">
        <v>158</v>
      </c>
      <c r="C465">
        <v>670000</v>
      </c>
      <c r="D465">
        <v>1</v>
      </c>
      <c r="E465">
        <v>0</v>
      </c>
      <c r="F465">
        <v>0</v>
      </c>
      <c r="G465">
        <v>1</v>
      </c>
      <c r="H465">
        <v>0</v>
      </c>
      <c r="I465">
        <v>0</v>
      </c>
      <c r="J465">
        <v>0</v>
      </c>
      <c r="K465">
        <v>1</v>
      </c>
    </row>
    <row r="466" spans="1:11" ht="15" customHeight="1" x14ac:dyDescent="0.25">
      <c r="A466" t="s">
        <v>183</v>
      </c>
      <c r="B466" t="s">
        <v>159</v>
      </c>
      <c r="C466">
        <v>400000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0</v>
      </c>
      <c r="K466">
        <v>1</v>
      </c>
    </row>
    <row r="467" spans="1:11" ht="15" customHeight="1" x14ac:dyDescent="0.25">
      <c r="A467" t="s">
        <v>184</v>
      </c>
      <c r="B467" t="s">
        <v>159</v>
      </c>
      <c r="C467">
        <v>395000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0</v>
      </c>
      <c r="K467">
        <v>1</v>
      </c>
    </row>
    <row r="468" spans="1:11" ht="15" customHeight="1" x14ac:dyDescent="0.25">
      <c r="A468" t="s">
        <v>185</v>
      </c>
      <c r="B468" t="s">
        <v>159</v>
      </c>
      <c r="C468">
        <v>405000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0</v>
      </c>
      <c r="K468">
        <v>1</v>
      </c>
    </row>
    <row r="469" spans="1:11" ht="15" customHeight="1" x14ac:dyDescent="0.25">
      <c r="A469" t="s">
        <v>186</v>
      </c>
      <c r="B469" t="s">
        <v>159</v>
      </c>
      <c r="C469">
        <v>400000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0</v>
      </c>
      <c r="K469">
        <v>1</v>
      </c>
    </row>
    <row r="470" spans="1:11" ht="15" customHeight="1" x14ac:dyDescent="0.25">
      <c r="A470" t="s">
        <v>182</v>
      </c>
      <c r="B470" t="s">
        <v>159</v>
      </c>
      <c r="C470">
        <v>650000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0</v>
      </c>
      <c r="J470">
        <v>0</v>
      </c>
      <c r="K470">
        <v>1</v>
      </c>
    </row>
    <row r="471" spans="1:11" ht="15" customHeight="1" x14ac:dyDescent="0.25">
      <c r="A471" t="s">
        <v>183</v>
      </c>
      <c r="B471" t="s">
        <v>160</v>
      </c>
      <c r="C471">
        <v>100000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0</v>
      </c>
      <c r="K471">
        <v>4</v>
      </c>
    </row>
    <row r="472" spans="1:11" ht="15" customHeight="1" x14ac:dyDescent="0.25">
      <c r="A472" t="s">
        <v>184</v>
      </c>
      <c r="B472" t="s">
        <v>160</v>
      </c>
      <c r="C472">
        <v>100000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0</v>
      </c>
      <c r="K472">
        <v>4</v>
      </c>
    </row>
    <row r="473" spans="1:11" ht="15" customHeight="1" x14ac:dyDescent="0.25">
      <c r="A473" t="s">
        <v>185</v>
      </c>
      <c r="B473" t="s">
        <v>160</v>
      </c>
      <c r="C473">
        <v>90000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0</v>
      </c>
      <c r="K473">
        <v>4</v>
      </c>
    </row>
    <row r="474" spans="1:11" ht="15" customHeight="1" x14ac:dyDescent="0.25">
      <c r="A474" t="s">
        <v>186</v>
      </c>
      <c r="B474" t="s">
        <v>160</v>
      </c>
      <c r="C474">
        <v>85000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5</v>
      </c>
    </row>
    <row r="475" spans="1:11" ht="15" customHeight="1" x14ac:dyDescent="0.25">
      <c r="A475" t="s">
        <v>177</v>
      </c>
      <c r="B475" t="s">
        <v>160</v>
      </c>
      <c r="C475">
        <v>125000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0</v>
      </c>
      <c r="J475">
        <v>0</v>
      </c>
      <c r="K475">
        <v>3</v>
      </c>
    </row>
    <row r="476" spans="1:11" ht="15" customHeight="1" x14ac:dyDescent="0.25">
      <c r="A476" t="s">
        <v>178</v>
      </c>
      <c r="B476" t="s">
        <v>160</v>
      </c>
      <c r="C476">
        <v>130000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0</v>
      </c>
      <c r="K476">
        <v>3</v>
      </c>
    </row>
    <row r="477" spans="1:11" ht="15" customHeight="1" x14ac:dyDescent="0.25">
      <c r="A477" t="s">
        <v>179</v>
      </c>
      <c r="B477" t="s">
        <v>160</v>
      </c>
      <c r="C477">
        <v>120000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0</v>
      </c>
      <c r="K477">
        <v>4</v>
      </c>
    </row>
    <row r="478" spans="1:11" ht="15" customHeight="1" x14ac:dyDescent="0.25">
      <c r="A478" t="s">
        <v>180</v>
      </c>
      <c r="B478" t="s">
        <v>160</v>
      </c>
      <c r="C478">
        <v>125000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0</v>
      </c>
      <c r="K478">
        <v>3</v>
      </c>
    </row>
    <row r="479" spans="1:11" ht="15" customHeight="1" x14ac:dyDescent="0.25">
      <c r="A479" t="s">
        <v>181</v>
      </c>
      <c r="B479" t="s">
        <v>160</v>
      </c>
      <c r="C479">
        <v>120000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0</v>
      </c>
      <c r="K479">
        <v>3</v>
      </c>
    </row>
    <row r="480" spans="1:11" ht="15" customHeight="1" x14ac:dyDescent="0.25">
      <c r="A480" t="s">
        <v>182</v>
      </c>
      <c r="B480" t="s">
        <v>160</v>
      </c>
      <c r="C480">
        <v>120000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0</v>
      </c>
      <c r="J480">
        <v>0</v>
      </c>
      <c r="K480">
        <v>3</v>
      </c>
    </row>
    <row r="481" spans="1:11" ht="15" customHeight="1" x14ac:dyDescent="0.25">
      <c r="A481" t="s">
        <v>183</v>
      </c>
      <c r="B481" t="s">
        <v>161</v>
      </c>
      <c r="C481">
        <v>690000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5</v>
      </c>
    </row>
    <row r="482" spans="1:11" ht="15" customHeight="1" x14ac:dyDescent="0.25">
      <c r="A482" t="s">
        <v>184</v>
      </c>
      <c r="B482" t="s">
        <v>161</v>
      </c>
      <c r="C482">
        <v>650000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0</v>
      </c>
      <c r="K482">
        <v>5</v>
      </c>
    </row>
    <row r="483" spans="1:11" ht="15" customHeight="1" x14ac:dyDescent="0.25">
      <c r="A483" t="s">
        <v>185</v>
      </c>
      <c r="B483" t="s">
        <v>161</v>
      </c>
      <c r="C483">
        <v>625000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0</v>
      </c>
      <c r="K483">
        <v>5</v>
      </c>
    </row>
    <row r="484" spans="1:11" ht="15" customHeight="1" x14ac:dyDescent="0.25">
      <c r="A484" t="s">
        <v>186</v>
      </c>
      <c r="B484" t="s">
        <v>161</v>
      </c>
      <c r="C484">
        <v>630000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0</v>
      </c>
      <c r="K484">
        <v>5</v>
      </c>
    </row>
    <row r="485" spans="1:11" ht="15" customHeight="1" x14ac:dyDescent="0.25">
      <c r="A485" t="s">
        <v>177</v>
      </c>
      <c r="B485" t="s">
        <v>161</v>
      </c>
      <c r="C485">
        <v>700000</v>
      </c>
      <c r="D485">
        <v>0</v>
      </c>
      <c r="E485">
        <v>0</v>
      </c>
      <c r="F485">
        <v>1</v>
      </c>
      <c r="G485">
        <v>0</v>
      </c>
      <c r="H485">
        <v>0</v>
      </c>
      <c r="I485">
        <v>0</v>
      </c>
      <c r="J485">
        <v>0</v>
      </c>
      <c r="K485">
        <v>1</v>
      </c>
    </row>
    <row r="486" spans="1:11" ht="15" customHeight="1" x14ac:dyDescent="0.25">
      <c r="A486" t="s">
        <v>178</v>
      </c>
      <c r="B486" t="s">
        <v>161</v>
      </c>
      <c r="C486">
        <v>685000</v>
      </c>
      <c r="D486">
        <v>0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1</v>
      </c>
    </row>
    <row r="487" spans="1:11" ht="15" customHeight="1" x14ac:dyDescent="0.25">
      <c r="A487" t="s">
        <v>179</v>
      </c>
      <c r="B487" t="s">
        <v>161</v>
      </c>
      <c r="C487">
        <v>710000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0</v>
      </c>
      <c r="J487">
        <v>0</v>
      </c>
      <c r="K487">
        <v>4</v>
      </c>
    </row>
    <row r="488" spans="1:11" ht="15" customHeight="1" x14ac:dyDescent="0.25">
      <c r="A488" t="s">
        <v>180</v>
      </c>
      <c r="B488" t="s">
        <v>161</v>
      </c>
      <c r="C488">
        <v>690000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1</v>
      </c>
    </row>
    <row r="489" spans="1:11" ht="15" customHeight="1" x14ac:dyDescent="0.25">
      <c r="A489" t="s">
        <v>181</v>
      </c>
      <c r="B489" t="s">
        <v>161</v>
      </c>
      <c r="C489">
        <v>720000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0</v>
      </c>
      <c r="J489">
        <v>0</v>
      </c>
      <c r="K489">
        <v>4</v>
      </c>
    </row>
    <row r="490" spans="1:11" ht="15" customHeight="1" x14ac:dyDescent="0.25">
      <c r="A490" t="s">
        <v>182</v>
      </c>
      <c r="B490" t="s">
        <v>161</v>
      </c>
      <c r="C490">
        <v>650000</v>
      </c>
      <c r="D490">
        <v>0</v>
      </c>
      <c r="E490">
        <v>0</v>
      </c>
      <c r="F490">
        <v>1</v>
      </c>
      <c r="G490">
        <v>0</v>
      </c>
      <c r="H490">
        <v>0</v>
      </c>
      <c r="I490">
        <v>0</v>
      </c>
      <c r="J490">
        <v>0</v>
      </c>
      <c r="K490">
        <v>1</v>
      </c>
    </row>
    <row r="491" spans="1:11" ht="15" customHeight="1" x14ac:dyDescent="0.25">
      <c r="A491" t="s">
        <v>183</v>
      </c>
      <c r="B491" t="s">
        <v>162</v>
      </c>
      <c r="C491">
        <v>350000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0</v>
      </c>
      <c r="K491">
        <v>4</v>
      </c>
    </row>
    <row r="492" spans="1:11" ht="15" customHeight="1" x14ac:dyDescent="0.25">
      <c r="A492" t="s">
        <v>184</v>
      </c>
      <c r="B492" t="s">
        <v>162</v>
      </c>
      <c r="C492">
        <v>425000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0</v>
      </c>
      <c r="K492">
        <v>4</v>
      </c>
    </row>
    <row r="493" spans="1:11" ht="15" customHeight="1" x14ac:dyDescent="0.25">
      <c r="A493" t="s">
        <v>185</v>
      </c>
      <c r="B493" t="s">
        <v>162</v>
      </c>
      <c r="C493">
        <v>375000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0</v>
      </c>
      <c r="K493">
        <v>4</v>
      </c>
    </row>
    <row r="494" spans="1:11" ht="15" customHeight="1" x14ac:dyDescent="0.25">
      <c r="A494" t="s">
        <v>186</v>
      </c>
      <c r="B494" t="s">
        <v>162</v>
      </c>
      <c r="C494">
        <v>400000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0</v>
      </c>
      <c r="K494">
        <v>4</v>
      </c>
    </row>
    <row r="495" spans="1:11" ht="15" customHeight="1" x14ac:dyDescent="0.25">
      <c r="A495" t="s">
        <v>179</v>
      </c>
      <c r="B495" t="s">
        <v>162</v>
      </c>
      <c r="C495">
        <v>500000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0</v>
      </c>
      <c r="K495">
        <v>5</v>
      </c>
    </row>
    <row r="496" spans="1:11" ht="15" customHeight="1" x14ac:dyDescent="0.25">
      <c r="A496" t="s">
        <v>182</v>
      </c>
      <c r="B496" t="s">
        <v>162</v>
      </c>
      <c r="C496">
        <v>510000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0</v>
      </c>
      <c r="J496">
        <v>0</v>
      </c>
      <c r="K496">
        <v>5</v>
      </c>
    </row>
    <row r="497" spans="1:11" ht="15" customHeight="1" x14ac:dyDescent="0.25">
      <c r="A497" t="s">
        <v>185</v>
      </c>
      <c r="B497" t="s">
        <v>163</v>
      </c>
      <c r="C497">
        <v>1750000</v>
      </c>
      <c r="D497">
        <v>1</v>
      </c>
      <c r="E497">
        <v>0</v>
      </c>
      <c r="F497">
        <v>0</v>
      </c>
      <c r="G497">
        <v>1</v>
      </c>
      <c r="H497">
        <v>0</v>
      </c>
      <c r="I497">
        <v>0</v>
      </c>
      <c r="J497">
        <v>0</v>
      </c>
      <c r="K497">
        <v>3</v>
      </c>
    </row>
    <row r="498" spans="1:11" ht="15" customHeight="1" x14ac:dyDescent="0.25">
      <c r="A498" t="s">
        <v>186</v>
      </c>
      <c r="B498" t="s">
        <v>163</v>
      </c>
      <c r="C498">
        <v>1700000</v>
      </c>
      <c r="D498">
        <v>0</v>
      </c>
      <c r="E498">
        <v>1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3</v>
      </c>
    </row>
    <row r="499" spans="1:11" ht="15" customHeight="1" x14ac:dyDescent="0.25">
      <c r="A499" t="s">
        <v>182</v>
      </c>
      <c r="B499" t="s">
        <v>163</v>
      </c>
      <c r="C499">
        <v>1600000</v>
      </c>
      <c r="D499">
        <v>0</v>
      </c>
      <c r="E499">
        <v>1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2</v>
      </c>
    </row>
    <row r="500" spans="1:11" ht="15" customHeight="1" x14ac:dyDescent="0.25">
      <c r="A500" t="s">
        <v>183</v>
      </c>
      <c r="B500" t="s">
        <v>164</v>
      </c>
      <c r="C500">
        <v>400000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0</v>
      </c>
      <c r="J500">
        <v>0</v>
      </c>
      <c r="K500">
        <v>10</v>
      </c>
    </row>
    <row r="501" spans="1:11" ht="15" customHeight="1" x14ac:dyDescent="0.25">
      <c r="A501" t="s">
        <v>185</v>
      </c>
      <c r="B501" t="s">
        <v>164</v>
      </c>
      <c r="C501">
        <v>475000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0</v>
      </c>
      <c r="J501">
        <v>0</v>
      </c>
      <c r="K501">
        <v>10</v>
      </c>
    </row>
    <row r="502" spans="1:11" ht="15" customHeight="1" x14ac:dyDescent="0.25">
      <c r="A502" t="s">
        <v>177</v>
      </c>
      <c r="B502" t="s">
        <v>164</v>
      </c>
      <c r="C502">
        <v>500000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0</v>
      </c>
      <c r="J502">
        <v>0</v>
      </c>
      <c r="K502">
        <v>8</v>
      </c>
    </row>
    <row r="503" spans="1:11" ht="15" customHeight="1" x14ac:dyDescent="0.25">
      <c r="A503" t="s">
        <v>179</v>
      </c>
      <c r="B503" t="s">
        <v>164</v>
      </c>
      <c r="C503">
        <v>650000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0</v>
      </c>
      <c r="J503">
        <v>0</v>
      </c>
      <c r="K503">
        <v>8</v>
      </c>
    </row>
    <row r="504" spans="1:11" ht="15" customHeight="1" x14ac:dyDescent="0.25">
      <c r="A504" t="s">
        <v>182</v>
      </c>
      <c r="B504" t="s">
        <v>164</v>
      </c>
      <c r="C504">
        <v>580000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0</v>
      </c>
      <c r="J504">
        <v>0</v>
      </c>
      <c r="K504">
        <v>8</v>
      </c>
    </row>
  </sheetData>
  <sheetProtection algorithmName="SHA-512" hashValue="poxAfbq7yoR2JyGHOpUb3HGzNn9vihPqNJ/VLTJSSuMjvgDMyWIGCnQ/kAVbrgHVmNFtQAv6Wb0nrRGDWFU2Eg==" saltValue="QCdzDQHIUm2DmIw+wbM3aQ==" spinCount="100000" sheet="1" objects="1" scenarios="1" selectLockedCells="1" selectUnlockedCells="1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B786-CEC2-4F7E-842A-9F3E5F485927}">
  <dimension ref="A1:N92"/>
  <sheetViews>
    <sheetView workbookViewId="0">
      <selection activeCell="E84" sqref="E84"/>
    </sheetView>
  </sheetViews>
  <sheetFormatPr defaultRowHeight="15" x14ac:dyDescent="0.25"/>
  <cols>
    <col min="1" max="1" width="24.42578125" bestFit="1" customWidth="1"/>
    <col min="2" max="2" width="14.5703125" bestFit="1" customWidth="1"/>
    <col min="5" max="5" width="42.7109375" bestFit="1" customWidth="1"/>
    <col min="6" max="6" width="11.42578125" bestFit="1" customWidth="1"/>
    <col min="7" max="7" width="10.85546875" bestFit="1" customWidth="1"/>
    <col min="11" max="11" width="9.5703125" bestFit="1" customWidth="1"/>
    <col min="12" max="12" width="10" bestFit="1" customWidth="1"/>
  </cols>
  <sheetData>
    <row r="1" spans="1:5" ht="15.75" thickBot="1" x14ac:dyDescent="0.3">
      <c r="A1" t="s">
        <v>200</v>
      </c>
      <c r="C1" t="s">
        <v>201</v>
      </c>
      <c r="E1" t="s">
        <v>202</v>
      </c>
    </row>
    <row r="2" spans="1:5" ht="15.75" thickBot="1" x14ac:dyDescent="0.3">
      <c r="A2" s="1" t="str">
        <f>DASHBOARD!$G$5</f>
        <v>C3</v>
      </c>
      <c r="C2" s="1" t="str">
        <f>DASHBOARD!$B$5</f>
        <v>Routine</v>
      </c>
      <c r="E2" s="1" t="str">
        <f>DASHBOARD!$M$5</f>
        <v>Thursday</v>
      </c>
    </row>
    <row r="3" spans="1:5" ht="15.75" thickBot="1" x14ac:dyDescent="0.3">
      <c r="A3" t="s">
        <v>208</v>
      </c>
    </row>
    <row r="4" spans="1:5" ht="15.75" thickBot="1" x14ac:dyDescent="0.3">
      <c r="A4" s="1" t="str">
        <f>INDEX(TEST!$A$2:$A$79,MATCH($A$2,TEST!$B$2:$B$79,0))</f>
        <v>TEST019</v>
      </c>
      <c r="E4" s="1">
        <f>MATCH($E$2,{"Monday";"Tuesday";"Wednesday";"Thursday";"Friday";"Saturday";"Sunday"},0)</f>
        <v>4</v>
      </c>
    </row>
    <row r="8" spans="1:5" x14ac:dyDescent="0.25">
      <c r="A8" t="s">
        <v>203</v>
      </c>
    </row>
    <row r="9" spans="1:5" ht="15.75" thickBot="1" x14ac:dyDescent="0.3"/>
    <row r="10" spans="1:5" ht="15.75" thickBot="1" x14ac:dyDescent="0.3">
      <c r="A10" s="1" t="s">
        <v>0</v>
      </c>
      <c r="B10" s="1" t="s">
        <v>9</v>
      </c>
      <c r="C10" s="1" t="s">
        <v>165</v>
      </c>
      <c r="D10" s="1" t="s">
        <v>204</v>
      </c>
    </row>
    <row r="11" spans="1:5" x14ac:dyDescent="0.25">
      <c r="A11" s="7" t="str" cm="1">
        <f t="array" ref="A11:C20">_xlfn._xlws.SORT(_xlfn._xlws.FILTER(SNP!$A$2:$C$504,SNP!$B$2:$B$504=$A$4),3,1)</f>
        <v>H001</v>
      </c>
      <c r="B11" s="7" t="str">
        <v>TEST019</v>
      </c>
      <c r="C11" s="7">
        <v>600000</v>
      </c>
      <c r="D11" s="7" cm="1">
        <f t="array" ref="D11:D20">IF($A$11:$A$20="","",((100-(_xlfn.SEQUENCE(ROWS(A11:A20),1,0,1))*10)*IF($C$2="Routine",0.65,0.35)))</f>
        <v>65</v>
      </c>
    </row>
    <row r="12" spans="1:5" x14ac:dyDescent="0.25">
      <c r="A12" s="8" t="str">
        <v>H003</v>
      </c>
      <c r="B12" s="8" t="str">
        <v>TEST019</v>
      </c>
      <c r="C12" s="8">
        <v>600000</v>
      </c>
      <c r="D12" s="8">
        <v>58.5</v>
      </c>
    </row>
    <row r="13" spans="1:5" x14ac:dyDescent="0.25">
      <c r="A13" s="8" t="str">
        <v>H004</v>
      </c>
      <c r="B13" s="8" t="str">
        <v>TEST019</v>
      </c>
      <c r="C13" s="8">
        <v>610000</v>
      </c>
      <c r="D13" s="8">
        <v>52</v>
      </c>
    </row>
    <row r="14" spans="1:5" x14ac:dyDescent="0.25">
      <c r="A14" s="8" t="str">
        <v>H002</v>
      </c>
      <c r="B14" s="8" t="str">
        <v>TEST019</v>
      </c>
      <c r="C14" s="8">
        <v>615000</v>
      </c>
      <c r="D14" s="8">
        <v>45.5</v>
      </c>
    </row>
    <row r="15" spans="1:5" x14ac:dyDescent="0.25">
      <c r="A15" s="8" t="str">
        <v>L002</v>
      </c>
      <c r="B15" s="8" t="str">
        <v>TEST019</v>
      </c>
      <c r="C15" s="8">
        <v>800000</v>
      </c>
      <c r="D15" s="8">
        <v>39</v>
      </c>
    </row>
    <row r="16" spans="1:5" x14ac:dyDescent="0.25">
      <c r="A16" s="8" t="str">
        <v>L003</v>
      </c>
      <c r="B16" s="8" t="str">
        <v>TEST019</v>
      </c>
      <c r="C16" s="8">
        <v>815000</v>
      </c>
      <c r="D16" s="8">
        <v>32.5</v>
      </c>
    </row>
    <row r="17" spans="1:14" x14ac:dyDescent="0.25">
      <c r="A17" s="8" t="str">
        <v>L004</v>
      </c>
      <c r="B17" s="8" t="str">
        <v>TEST019</v>
      </c>
      <c r="C17" s="8">
        <v>820000</v>
      </c>
      <c r="D17" s="8">
        <v>26</v>
      </c>
    </row>
    <row r="18" spans="1:14" x14ac:dyDescent="0.25">
      <c r="A18" s="8" t="str">
        <v>L001</v>
      </c>
      <c r="B18" s="8" t="str">
        <v>TEST019</v>
      </c>
      <c r="C18" s="8">
        <v>825000</v>
      </c>
      <c r="D18" s="8">
        <v>19.5</v>
      </c>
    </row>
    <row r="19" spans="1:14" x14ac:dyDescent="0.25">
      <c r="A19" s="8" t="str">
        <v>L006</v>
      </c>
      <c r="B19" s="8" t="str">
        <v>TEST019</v>
      </c>
      <c r="C19" s="8">
        <v>825000</v>
      </c>
      <c r="D19" s="8">
        <v>13</v>
      </c>
    </row>
    <row r="20" spans="1:14" ht="15.75" thickBot="1" x14ac:dyDescent="0.3">
      <c r="A20" s="9" t="str">
        <v>L005</v>
      </c>
      <c r="B20" s="9" t="str">
        <v>TEST019</v>
      </c>
      <c r="C20" s="9">
        <v>850000</v>
      </c>
      <c r="D20" s="9">
        <v>6.5</v>
      </c>
    </row>
    <row r="23" spans="1:14" x14ac:dyDescent="0.25">
      <c r="A23" t="s">
        <v>205</v>
      </c>
    </row>
    <row r="24" spans="1:14" ht="15.75" thickBot="1" x14ac:dyDescent="0.3"/>
    <row r="25" spans="1:14" ht="15.75" thickBot="1" x14ac:dyDescent="0.3">
      <c r="A25" s="1" t="s">
        <v>0</v>
      </c>
      <c r="B25" s="1" t="s">
        <v>9</v>
      </c>
      <c r="C25" s="1" t="s">
        <v>165</v>
      </c>
      <c r="D25" s="1" t="s">
        <v>166</v>
      </c>
      <c r="E25" s="1" t="s">
        <v>167</v>
      </c>
      <c r="F25" s="1" t="s">
        <v>168</v>
      </c>
      <c r="G25" s="1" t="s">
        <v>169</v>
      </c>
      <c r="H25" s="1" t="s">
        <v>170</v>
      </c>
      <c r="I25" s="1" t="s">
        <v>171</v>
      </c>
      <c r="J25" s="1" t="s">
        <v>172</v>
      </c>
      <c r="K25" s="10" t="s">
        <v>199</v>
      </c>
      <c r="L25" s="1" t="s">
        <v>206</v>
      </c>
      <c r="M25" s="7" t="s">
        <v>209</v>
      </c>
      <c r="N25" s="14" t="s">
        <v>204</v>
      </c>
    </row>
    <row r="26" spans="1:14" x14ac:dyDescent="0.25">
      <c r="A26" s="8" t="str" cm="1">
        <f t="array" ref="A26:K35">_xlfn._xlws.FILTER(SNP!$A$2:$K$504,SNP!$B$2:$B$504=$A$4)</f>
        <v>H001</v>
      </c>
      <c r="B26" s="8" t="str">
        <v>TEST019</v>
      </c>
      <c r="C26" s="8">
        <v>600000</v>
      </c>
      <c r="D26" s="8">
        <v>1</v>
      </c>
      <c r="E26" s="8">
        <v>1</v>
      </c>
      <c r="F26" s="8">
        <v>1</v>
      </c>
      <c r="G26" s="8">
        <v>1</v>
      </c>
      <c r="H26" s="8">
        <v>1</v>
      </c>
      <c r="I26" s="8">
        <v>1</v>
      </c>
      <c r="J26" s="8">
        <v>0</v>
      </c>
      <c r="K26" s="4">
        <v>2</v>
      </c>
      <c r="L26" s="7">
        <f>IF(A26="","",IFERROR(MATCH(1,INDEX(D26:J26,MATCH($E$2,SNP!$D$1:$J$1,0)):J26,0),MATCH(1,D26:J26,0)+5-MATCH($E$2,SNP!$D$1:$J$1,0))+$K26)</f>
        <v>3</v>
      </c>
      <c r="M26" s="7" cm="1">
        <f t="array" ref="M26">IF(L26="","",SUM(--(_xlfn.UNIQUE(_xlfn._xlws.FILTER($L$26:$L$35,$L$26:$L$35&lt;&gt;""))&lt;L26))+1)</f>
        <v>2</v>
      </c>
      <c r="N26" s="7">
        <f>IF(L26="","",(110-M26*10)*IF($C$2="Routine",0.3,0.6))</f>
        <v>27</v>
      </c>
    </row>
    <row r="27" spans="1:14" x14ac:dyDescent="0.25">
      <c r="A27" s="8" t="str">
        <v>H002</v>
      </c>
      <c r="B27" s="8" t="str">
        <v>TEST019</v>
      </c>
      <c r="C27" s="8">
        <v>615000</v>
      </c>
      <c r="D27" s="8">
        <v>1</v>
      </c>
      <c r="E27" s="8">
        <v>1</v>
      </c>
      <c r="F27" s="8">
        <v>1</v>
      </c>
      <c r="G27" s="8">
        <v>1</v>
      </c>
      <c r="H27" s="8">
        <v>1</v>
      </c>
      <c r="I27" s="8">
        <v>1</v>
      </c>
      <c r="J27" s="8">
        <v>0</v>
      </c>
      <c r="K27" s="4">
        <v>2</v>
      </c>
      <c r="L27" s="8">
        <f>IF(A27="","",IFERROR(MATCH(1,INDEX(D27:J27,MATCH($E$2,SNP!$D$1:$J$1,0)):J27,0),MATCH(1,D27:J27,0)+5-MATCH($E$2,SNP!$D$1:$J$1,0))+$K27)</f>
        <v>3</v>
      </c>
      <c r="M27" s="8" cm="1">
        <f t="array" ref="M27">IF(L27="","",SUM(--(_xlfn.UNIQUE(_xlfn._xlws.FILTER($L$26:$L$35,$L$26:$L$35&lt;&gt;""))&lt;L27))+1)</f>
        <v>2</v>
      </c>
      <c r="N27" s="8">
        <f t="shared" ref="N27:N35" si="0">IF(L27="","",(110-M27*10)*IF($C$2="Routine",0.3,0.6))</f>
        <v>27</v>
      </c>
    </row>
    <row r="28" spans="1:14" x14ac:dyDescent="0.25">
      <c r="A28" s="8" t="str">
        <v>H003</v>
      </c>
      <c r="B28" s="8" t="str">
        <v>TEST019</v>
      </c>
      <c r="C28" s="8">
        <v>600000</v>
      </c>
      <c r="D28" s="8">
        <v>1</v>
      </c>
      <c r="E28" s="8">
        <v>1</v>
      </c>
      <c r="F28" s="8">
        <v>1</v>
      </c>
      <c r="G28" s="8">
        <v>1</v>
      </c>
      <c r="H28" s="8">
        <v>1</v>
      </c>
      <c r="I28" s="8">
        <v>1</v>
      </c>
      <c r="J28" s="8">
        <v>0</v>
      </c>
      <c r="K28" s="4">
        <v>2</v>
      </c>
      <c r="L28" s="8">
        <f>IF(A28="","",IFERROR(MATCH(1,INDEX(D28:J28,MATCH($E$2,SNP!$D$1:$J$1,0)):J28,0),MATCH(1,D28:J28,0)+5-MATCH($E$2,SNP!$D$1:$J$1,0))+$K28)</f>
        <v>3</v>
      </c>
      <c r="M28" s="8" cm="1">
        <f t="array" ref="M28">IF(L28="","",SUM(--(_xlfn.UNIQUE(_xlfn._xlws.FILTER($L$26:$L$35,$L$26:$L$35&lt;&gt;""))&lt;L28))+1)</f>
        <v>2</v>
      </c>
      <c r="N28" s="8">
        <f t="shared" si="0"/>
        <v>27</v>
      </c>
    </row>
    <row r="29" spans="1:14" x14ac:dyDescent="0.25">
      <c r="A29" s="8" t="str">
        <v>H004</v>
      </c>
      <c r="B29" s="8" t="str">
        <v>TEST019</v>
      </c>
      <c r="C29" s="8">
        <v>610000</v>
      </c>
      <c r="D29" s="8">
        <v>1</v>
      </c>
      <c r="E29" s="8">
        <v>1</v>
      </c>
      <c r="F29" s="8">
        <v>1</v>
      </c>
      <c r="G29" s="8">
        <v>1</v>
      </c>
      <c r="H29" s="8">
        <v>1</v>
      </c>
      <c r="I29" s="8">
        <v>1</v>
      </c>
      <c r="J29" s="8">
        <v>0</v>
      </c>
      <c r="K29" s="4">
        <v>2</v>
      </c>
      <c r="L29" s="8">
        <f>IF(A29="","",IFERROR(MATCH(1,INDEX(D29:J29,MATCH($E$2,SNP!$D$1:$J$1,0)):J29,0),MATCH(1,D29:J29,0)+5-MATCH($E$2,SNP!$D$1:$J$1,0))+$K29)</f>
        <v>3</v>
      </c>
      <c r="M29" s="8" cm="1">
        <f t="array" ref="M29">IF(L29="","",SUM(--(_xlfn.UNIQUE(_xlfn._xlws.FILTER($L$26:$L$35,$L$26:$L$35&lt;&gt;""))&lt;L29))+1)</f>
        <v>2</v>
      </c>
      <c r="N29" s="8">
        <f t="shared" si="0"/>
        <v>27</v>
      </c>
    </row>
    <row r="30" spans="1:14" x14ac:dyDescent="0.25">
      <c r="A30" s="8" t="str">
        <v>L001</v>
      </c>
      <c r="B30" s="8" t="str">
        <v>TEST019</v>
      </c>
      <c r="C30" s="8">
        <v>825000</v>
      </c>
      <c r="D30" s="8">
        <v>1</v>
      </c>
      <c r="E30" s="8">
        <v>1</v>
      </c>
      <c r="F30" s="8">
        <v>1</v>
      </c>
      <c r="G30" s="8">
        <v>1</v>
      </c>
      <c r="H30" s="8">
        <v>1</v>
      </c>
      <c r="I30" s="8">
        <v>0</v>
      </c>
      <c r="J30" s="8">
        <v>0</v>
      </c>
      <c r="K30" s="4">
        <v>1</v>
      </c>
      <c r="L30" s="8">
        <f>IF(A30="","",IFERROR(MATCH(1,INDEX(D30:J30,MATCH($E$2,SNP!$D$1:$J$1,0)):J30,0),MATCH(1,D30:J30,0)+5-MATCH($E$2,SNP!$D$1:$J$1,0))+$K30)</f>
        <v>2</v>
      </c>
      <c r="M30" s="8" cm="1">
        <f t="array" ref="M30">IF(L30="","",SUM(--(_xlfn.UNIQUE(_xlfn._xlws.FILTER($L$26:$L$35,$L$26:$L$35&lt;&gt;""))&lt;L30))+1)</f>
        <v>1</v>
      </c>
      <c r="N30" s="8">
        <f t="shared" si="0"/>
        <v>30</v>
      </c>
    </row>
    <row r="31" spans="1:14" x14ac:dyDescent="0.25">
      <c r="A31" s="8" t="str">
        <v>L002</v>
      </c>
      <c r="B31" s="8" t="str">
        <v>TEST019</v>
      </c>
      <c r="C31" s="8">
        <v>800000</v>
      </c>
      <c r="D31" s="8">
        <v>1</v>
      </c>
      <c r="E31" s="8">
        <v>1</v>
      </c>
      <c r="F31" s="8">
        <v>1</v>
      </c>
      <c r="G31" s="8">
        <v>1</v>
      </c>
      <c r="H31" s="8">
        <v>1</v>
      </c>
      <c r="I31" s="8">
        <v>0</v>
      </c>
      <c r="J31" s="8">
        <v>0</v>
      </c>
      <c r="K31" s="4">
        <v>1</v>
      </c>
      <c r="L31" s="8">
        <f>IF(A31="","",IFERROR(MATCH(1,INDEX(D31:J31,MATCH($E$2,SNP!$D$1:$J$1,0)):J31,0),MATCH(1,D31:J31,0)+5-MATCH($E$2,SNP!$D$1:$J$1,0))+$K31)</f>
        <v>2</v>
      </c>
      <c r="M31" s="8" cm="1">
        <f t="array" ref="M31">IF(L31="","",SUM(--(_xlfn.UNIQUE(_xlfn._xlws.FILTER($L$26:$L$35,$L$26:$L$35&lt;&gt;""))&lt;L31))+1)</f>
        <v>1</v>
      </c>
      <c r="N31" s="8">
        <f t="shared" si="0"/>
        <v>30</v>
      </c>
    </row>
    <row r="32" spans="1:14" x14ac:dyDescent="0.25">
      <c r="A32" s="8" t="str">
        <v>L003</v>
      </c>
      <c r="B32" s="8" t="str">
        <v>TEST019</v>
      </c>
      <c r="C32" s="8">
        <v>815000</v>
      </c>
      <c r="D32" s="8">
        <v>1</v>
      </c>
      <c r="E32" s="8">
        <v>1</v>
      </c>
      <c r="F32" s="8">
        <v>1</v>
      </c>
      <c r="G32" s="8">
        <v>1</v>
      </c>
      <c r="H32" s="8">
        <v>1</v>
      </c>
      <c r="I32" s="8">
        <v>0</v>
      </c>
      <c r="J32" s="8">
        <v>0</v>
      </c>
      <c r="K32" s="4">
        <v>1</v>
      </c>
      <c r="L32" s="8">
        <f>IF(A32="","",IFERROR(MATCH(1,INDEX(D32:J32,MATCH($E$2,SNP!$D$1:$J$1,0)):J32,0),MATCH(1,D32:J32,0)+5-MATCH($E$2,SNP!$D$1:$J$1,0))+$K32)</f>
        <v>2</v>
      </c>
      <c r="M32" s="8" cm="1">
        <f t="array" ref="M32">IF(L32="","",SUM(--(_xlfn.UNIQUE(_xlfn._xlws.FILTER($L$26:$L$35,$L$26:$L$35&lt;&gt;""))&lt;L32))+1)</f>
        <v>1</v>
      </c>
      <c r="N32" s="8">
        <f t="shared" si="0"/>
        <v>30</v>
      </c>
    </row>
    <row r="33" spans="1:14" x14ac:dyDescent="0.25">
      <c r="A33" s="8" t="str">
        <v>L004</v>
      </c>
      <c r="B33" s="8" t="str">
        <v>TEST019</v>
      </c>
      <c r="C33" s="8">
        <v>820000</v>
      </c>
      <c r="D33" s="8">
        <v>1</v>
      </c>
      <c r="E33" s="8">
        <v>1</v>
      </c>
      <c r="F33" s="8">
        <v>1</v>
      </c>
      <c r="G33" s="8">
        <v>1</v>
      </c>
      <c r="H33" s="8">
        <v>1</v>
      </c>
      <c r="I33" s="8">
        <v>0</v>
      </c>
      <c r="J33" s="8">
        <v>0</v>
      </c>
      <c r="K33" s="4">
        <v>1</v>
      </c>
      <c r="L33" s="8">
        <f>IF(A33="","",IFERROR(MATCH(1,INDEX(D33:J33,MATCH($E$2,SNP!$D$1:$J$1,0)):J33,0),MATCH(1,D33:J33,0)+5-MATCH($E$2,SNP!$D$1:$J$1,0))+$K33)</f>
        <v>2</v>
      </c>
      <c r="M33" s="8" cm="1">
        <f t="array" ref="M33">IF(L33="","",SUM(--(_xlfn.UNIQUE(_xlfn._xlws.FILTER($L$26:$L$35,$L$26:$L$35&lt;&gt;""))&lt;L33))+1)</f>
        <v>1</v>
      </c>
      <c r="N33" s="8">
        <f t="shared" si="0"/>
        <v>30</v>
      </c>
    </row>
    <row r="34" spans="1:14" x14ac:dyDescent="0.25">
      <c r="A34" s="8" t="str">
        <v>L005</v>
      </c>
      <c r="B34" s="8" t="str">
        <v>TEST019</v>
      </c>
      <c r="C34" s="8">
        <v>850000</v>
      </c>
      <c r="D34" s="8">
        <v>1</v>
      </c>
      <c r="E34" s="8">
        <v>1</v>
      </c>
      <c r="F34" s="8">
        <v>1</v>
      </c>
      <c r="G34" s="8">
        <v>1</v>
      </c>
      <c r="H34" s="8">
        <v>1</v>
      </c>
      <c r="I34" s="8">
        <v>0</v>
      </c>
      <c r="J34" s="8">
        <v>0</v>
      </c>
      <c r="K34" s="4">
        <v>1</v>
      </c>
      <c r="L34" s="8">
        <f>IF(A34="","",IFERROR(MATCH(1,INDEX(D34:J34,MATCH($E$2,SNP!$D$1:$J$1,0)):J34,0),MATCH(1,D34:J34,0)+5-MATCH($E$2,SNP!$D$1:$J$1,0))+$K34)</f>
        <v>2</v>
      </c>
      <c r="M34" s="8" cm="1">
        <f t="array" ref="M34">IF(L34="","",SUM(--(_xlfn.UNIQUE(_xlfn._xlws.FILTER($L$26:$L$35,$L$26:$L$35&lt;&gt;""))&lt;L34))+1)</f>
        <v>1</v>
      </c>
      <c r="N34" s="8">
        <f t="shared" si="0"/>
        <v>30</v>
      </c>
    </row>
    <row r="35" spans="1:14" ht="15.75" thickBot="1" x14ac:dyDescent="0.3">
      <c r="A35" s="9" t="str">
        <v>L006</v>
      </c>
      <c r="B35" s="9" t="str">
        <v>TEST019</v>
      </c>
      <c r="C35" s="9">
        <v>825000</v>
      </c>
      <c r="D35" s="9">
        <v>1</v>
      </c>
      <c r="E35" s="9">
        <v>1</v>
      </c>
      <c r="F35" s="9">
        <v>1</v>
      </c>
      <c r="G35" s="9">
        <v>1</v>
      </c>
      <c r="H35" s="9">
        <v>1</v>
      </c>
      <c r="I35" s="9">
        <v>0</v>
      </c>
      <c r="J35" s="9">
        <v>0</v>
      </c>
      <c r="K35" s="6">
        <v>1</v>
      </c>
      <c r="L35" s="9">
        <f>IF(A35="","",IFERROR(MATCH(1,INDEX(D35:J35,MATCH($E$2,SNP!$D$1:$J$1,0)):J35,0),MATCH(1,D35:J35,0)+5-MATCH($E$2,SNP!$D$1:$J$1,0))+$K35)</f>
        <v>2</v>
      </c>
      <c r="M35" s="9" cm="1">
        <f t="array" ref="M35">IF(L35="","",SUM(--(_xlfn.UNIQUE(_xlfn._xlws.FILTER($L$26:$L$35,$L$26:$L$35&lt;&gt;""))&lt;L35))+1)</f>
        <v>1</v>
      </c>
      <c r="N35" s="9">
        <f t="shared" si="0"/>
        <v>30</v>
      </c>
    </row>
    <row r="38" spans="1:14" x14ac:dyDescent="0.25">
      <c r="A38" t="s">
        <v>207</v>
      </c>
    </row>
    <row r="39" spans="1:14" ht="15.75" thickBot="1" x14ac:dyDescent="0.3"/>
    <row r="40" spans="1:14" ht="15.75" thickBot="1" x14ac:dyDescent="0.3">
      <c r="A40" s="7" t="s">
        <v>0</v>
      </c>
      <c r="B40" s="1" t="s">
        <v>2</v>
      </c>
      <c r="C40" s="2" t="s">
        <v>176</v>
      </c>
      <c r="D40" s="1" t="s">
        <v>204</v>
      </c>
      <c r="E40" s="15"/>
    </row>
    <row r="41" spans="1:14" x14ac:dyDescent="0.25">
      <c r="A41" s="11" t="s">
        <v>177</v>
      </c>
      <c r="B41" s="2">
        <v>1</v>
      </c>
      <c r="C41" s="11">
        <v>12.3</v>
      </c>
      <c r="D41" s="8">
        <f>75*0.05</f>
        <v>3.75</v>
      </c>
      <c r="E41" s="4"/>
    </row>
    <row r="42" spans="1:14" x14ac:dyDescent="0.25">
      <c r="A42" s="12" t="s">
        <v>178</v>
      </c>
      <c r="B42" s="4">
        <v>1</v>
      </c>
      <c r="C42" s="12">
        <v>7.8</v>
      </c>
      <c r="D42" s="8">
        <f>100*0.05</f>
        <v>5</v>
      </c>
      <c r="E42" s="4"/>
    </row>
    <row r="43" spans="1:14" x14ac:dyDescent="0.25">
      <c r="A43" s="12" t="s">
        <v>179</v>
      </c>
      <c r="B43" s="4">
        <v>0</v>
      </c>
      <c r="C43" s="12">
        <v>8.1999999999999993</v>
      </c>
      <c r="D43" s="8">
        <f>10*0.05</f>
        <v>0.5</v>
      </c>
      <c r="E43" s="4"/>
    </row>
    <row r="44" spans="1:14" x14ac:dyDescent="0.25">
      <c r="A44" s="12" t="s">
        <v>180</v>
      </c>
      <c r="B44" s="4">
        <v>1</v>
      </c>
      <c r="C44" s="12">
        <v>11.1</v>
      </c>
      <c r="D44" s="8">
        <f>75*0.05</f>
        <v>3.75</v>
      </c>
      <c r="E44" s="4"/>
    </row>
    <row r="45" spans="1:14" x14ac:dyDescent="0.25">
      <c r="A45" s="12" t="s">
        <v>181</v>
      </c>
      <c r="B45" s="4">
        <v>1</v>
      </c>
      <c r="C45" s="12">
        <v>12</v>
      </c>
      <c r="D45" s="8">
        <f>75*0.05</f>
        <v>3.75</v>
      </c>
      <c r="E45" s="4"/>
    </row>
    <row r="46" spans="1:14" x14ac:dyDescent="0.25">
      <c r="A46" s="12" t="s">
        <v>182</v>
      </c>
      <c r="B46" s="4">
        <v>0</v>
      </c>
      <c r="C46" s="12">
        <v>8</v>
      </c>
      <c r="D46" s="8">
        <f>50*0.05</f>
        <v>2.5</v>
      </c>
      <c r="E46" s="4"/>
    </row>
    <row r="47" spans="1:14" x14ac:dyDescent="0.25">
      <c r="A47" s="12" t="s">
        <v>183</v>
      </c>
      <c r="B47" s="4">
        <v>0</v>
      </c>
      <c r="C47" s="12">
        <v>10</v>
      </c>
      <c r="D47" s="8">
        <f>25*0.05</f>
        <v>1.25</v>
      </c>
      <c r="E47" s="4"/>
    </row>
    <row r="48" spans="1:14" x14ac:dyDescent="0.25">
      <c r="A48" s="12" t="s">
        <v>184</v>
      </c>
      <c r="B48" s="4">
        <v>0</v>
      </c>
      <c r="C48" s="12">
        <v>10.5</v>
      </c>
      <c r="D48" s="8">
        <f>25*0.05</f>
        <v>1.25</v>
      </c>
      <c r="E48" s="4"/>
    </row>
    <row r="49" spans="1:6" x14ac:dyDescent="0.25">
      <c r="A49" s="12" t="s">
        <v>185</v>
      </c>
      <c r="B49" s="4">
        <v>0</v>
      </c>
      <c r="C49" s="12">
        <v>8.3000000000000007</v>
      </c>
      <c r="D49" s="8">
        <f>50*0.05</f>
        <v>2.5</v>
      </c>
      <c r="E49" s="4"/>
    </row>
    <row r="50" spans="1:6" ht="15.75" thickBot="1" x14ac:dyDescent="0.3">
      <c r="A50" s="13" t="s">
        <v>186</v>
      </c>
      <c r="B50" s="6">
        <v>0</v>
      </c>
      <c r="C50" s="13">
        <v>9.5</v>
      </c>
      <c r="D50" s="9">
        <f>25*0.05</f>
        <v>1.25</v>
      </c>
      <c r="E50" s="4"/>
    </row>
    <row r="53" spans="1:6" ht="15.75" thickBot="1" x14ac:dyDescent="0.3">
      <c r="A53" t="s">
        <v>210</v>
      </c>
    </row>
    <row r="54" spans="1:6" ht="15.75" thickBot="1" x14ac:dyDescent="0.3">
      <c r="A54" s="1" t="s">
        <v>0</v>
      </c>
      <c r="B54" s="7" t="s">
        <v>211</v>
      </c>
      <c r="C54" s="7" t="s">
        <v>212</v>
      </c>
      <c r="D54" s="1" t="s">
        <v>213</v>
      </c>
      <c r="E54" s="1" t="s">
        <v>214</v>
      </c>
      <c r="F54" s="7" t="s">
        <v>209</v>
      </c>
    </row>
    <row r="55" spans="1:6" x14ac:dyDescent="0.25">
      <c r="A55" s="16" t="s">
        <v>177</v>
      </c>
      <c r="B55" s="19">
        <f>_xlfn.IFNA(VLOOKUP($A55,$A$11:$D$20,4,FALSE),"")</f>
        <v>19.5</v>
      </c>
      <c r="C55" s="7">
        <f>_xlfn.IFNA(VLOOKUP($A55,$A$26:$N$35,14,FALSE),"")</f>
        <v>30</v>
      </c>
      <c r="D55" s="7">
        <f>IF(COUNTIF($A$11:$A$20,A55)&gt;0,D41,"")</f>
        <v>3.75</v>
      </c>
      <c r="E55" s="19">
        <f>SUM(B55:D55)</f>
        <v>53.25</v>
      </c>
      <c r="F55" s="7" cm="1">
        <f t="array" ref="F55">IF(E55=0,"",SUM(--(_xlfn.UNIQUE(_xlfn._xlws.FILTER($E$55:$E$64,$E$55:$E$64&lt;&gt;""))&gt;E55))+1)</f>
        <v>8</v>
      </c>
    </row>
    <row r="56" spans="1:6" x14ac:dyDescent="0.25">
      <c r="A56" s="17" t="s">
        <v>178</v>
      </c>
      <c r="B56" s="3">
        <f t="shared" ref="B56:B64" si="1">_xlfn.IFNA(VLOOKUP($A56,$A$11:$D$20,4,FALSE),"")</f>
        <v>39</v>
      </c>
      <c r="C56" s="8">
        <f t="shared" ref="C56:C64" si="2">_xlfn.IFNA(VLOOKUP($A56,$A$26:$N$35,14,FALSE),"")</f>
        <v>30</v>
      </c>
      <c r="D56" s="8">
        <f t="shared" ref="D56:D64" si="3">IF(COUNTIF($A$11:$A$20,A56)&gt;0,D42,"")</f>
        <v>5</v>
      </c>
      <c r="E56" s="3">
        <f t="shared" ref="E56:E64" si="4">SUM(B56:D56)</f>
        <v>74</v>
      </c>
      <c r="F56" s="8" cm="1">
        <f t="array" ref="F56">IF(E56=0,"",SUM(--(_xlfn.UNIQUE(_xlfn._xlws.FILTER($E$55:$E$64,$E$55:$E$64&lt;&gt;""))&gt;E56))+1)</f>
        <v>4</v>
      </c>
    </row>
    <row r="57" spans="1:6" x14ac:dyDescent="0.25">
      <c r="A57" s="17" t="s">
        <v>179</v>
      </c>
      <c r="B57" s="3">
        <f t="shared" si="1"/>
        <v>32.5</v>
      </c>
      <c r="C57" s="8">
        <f t="shared" si="2"/>
        <v>30</v>
      </c>
      <c r="D57" s="8">
        <f t="shared" si="3"/>
        <v>0.5</v>
      </c>
      <c r="E57" s="3">
        <f t="shared" si="4"/>
        <v>63</v>
      </c>
      <c r="F57" s="8" cm="1">
        <f t="array" ref="F57">IF(E57=0,"",SUM(--(_xlfn.UNIQUE(_xlfn._xlws.FILTER($E$55:$E$64,$E$55:$E$64&lt;&gt;""))&gt;E57))+1)</f>
        <v>6</v>
      </c>
    </row>
    <row r="58" spans="1:6" x14ac:dyDescent="0.25">
      <c r="A58" s="17" t="s">
        <v>180</v>
      </c>
      <c r="B58" s="3">
        <f t="shared" si="1"/>
        <v>26</v>
      </c>
      <c r="C58" s="8">
        <f t="shared" si="2"/>
        <v>30</v>
      </c>
      <c r="D58" s="8">
        <f t="shared" si="3"/>
        <v>3.75</v>
      </c>
      <c r="E58" s="3">
        <f t="shared" si="4"/>
        <v>59.75</v>
      </c>
      <c r="F58" s="8" cm="1">
        <f t="array" ref="F58">IF(E58=0,"",SUM(--(_xlfn.UNIQUE(_xlfn._xlws.FILTER($E$55:$E$64,$E$55:$E$64&lt;&gt;""))&gt;E58))+1)</f>
        <v>7</v>
      </c>
    </row>
    <row r="59" spans="1:6" x14ac:dyDescent="0.25">
      <c r="A59" s="17" t="s">
        <v>181</v>
      </c>
      <c r="B59" s="3">
        <f t="shared" si="1"/>
        <v>6.5</v>
      </c>
      <c r="C59" s="8">
        <f t="shared" si="2"/>
        <v>30</v>
      </c>
      <c r="D59" s="8">
        <f t="shared" si="3"/>
        <v>3.75</v>
      </c>
      <c r="E59" s="3">
        <f t="shared" si="4"/>
        <v>40.25</v>
      </c>
      <c r="F59" s="8" cm="1">
        <f t="array" ref="F59">IF(E59=0,"",SUM(--(_xlfn.UNIQUE(_xlfn._xlws.FILTER($E$55:$E$64,$E$55:$E$64&lt;&gt;""))&gt;E59))+1)</f>
        <v>10</v>
      </c>
    </row>
    <row r="60" spans="1:6" x14ac:dyDescent="0.25">
      <c r="A60" s="17" t="s">
        <v>182</v>
      </c>
      <c r="B60" s="3">
        <f t="shared" si="1"/>
        <v>13</v>
      </c>
      <c r="C60" s="8">
        <f t="shared" si="2"/>
        <v>30</v>
      </c>
      <c r="D60" s="8">
        <f t="shared" si="3"/>
        <v>2.5</v>
      </c>
      <c r="E60" s="3">
        <f t="shared" si="4"/>
        <v>45.5</v>
      </c>
      <c r="F60" s="8" cm="1">
        <f t="array" ref="F60">IF(E60=0,"",SUM(--(_xlfn.UNIQUE(_xlfn._xlws.FILTER($E$55:$E$64,$E$55:$E$64&lt;&gt;""))&gt;E60))+1)</f>
        <v>9</v>
      </c>
    </row>
    <row r="61" spans="1:6" x14ac:dyDescent="0.25">
      <c r="A61" s="17" t="s">
        <v>183</v>
      </c>
      <c r="B61" s="3">
        <f t="shared" si="1"/>
        <v>65</v>
      </c>
      <c r="C61" s="8">
        <f t="shared" si="2"/>
        <v>27</v>
      </c>
      <c r="D61" s="8">
        <f t="shared" si="3"/>
        <v>1.25</v>
      </c>
      <c r="E61" s="3">
        <f t="shared" si="4"/>
        <v>93.25</v>
      </c>
      <c r="F61" s="8" cm="1">
        <f t="array" ref="F61">IF(E61=0,"",SUM(--(_xlfn.UNIQUE(_xlfn._xlws.FILTER($E$55:$E$64,$E$55:$E$64&lt;&gt;""))&gt;E61))+1)</f>
        <v>1</v>
      </c>
    </row>
    <row r="62" spans="1:6" x14ac:dyDescent="0.25">
      <c r="A62" s="17" t="s">
        <v>184</v>
      </c>
      <c r="B62" s="3">
        <f t="shared" si="1"/>
        <v>45.5</v>
      </c>
      <c r="C62" s="8">
        <f t="shared" si="2"/>
        <v>27</v>
      </c>
      <c r="D62" s="8">
        <f t="shared" si="3"/>
        <v>1.25</v>
      </c>
      <c r="E62" s="3">
        <f t="shared" si="4"/>
        <v>73.75</v>
      </c>
      <c r="F62" s="8" cm="1">
        <f t="array" ref="F62">IF(E62=0,"",SUM(--(_xlfn.UNIQUE(_xlfn._xlws.FILTER($E$55:$E$64,$E$55:$E$64&lt;&gt;""))&gt;E62))+1)</f>
        <v>5</v>
      </c>
    </row>
    <row r="63" spans="1:6" x14ac:dyDescent="0.25">
      <c r="A63" s="17" t="s">
        <v>185</v>
      </c>
      <c r="B63" s="3">
        <f t="shared" si="1"/>
        <v>58.5</v>
      </c>
      <c r="C63" s="8">
        <f t="shared" si="2"/>
        <v>27</v>
      </c>
      <c r="D63" s="8">
        <f t="shared" si="3"/>
        <v>2.5</v>
      </c>
      <c r="E63" s="3">
        <f t="shared" si="4"/>
        <v>88</v>
      </c>
      <c r="F63" s="8" cm="1">
        <f t="array" ref="F63">IF(E63=0,"",SUM(--(_xlfn.UNIQUE(_xlfn._xlws.FILTER($E$55:$E$64,$E$55:$E$64&lt;&gt;""))&gt;E63))+1)</f>
        <v>2</v>
      </c>
    </row>
    <row r="64" spans="1:6" ht="15.75" thickBot="1" x14ac:dyDescent="0.3">
      <c r="A64" s="18" t="s">
        <v>186</v>
      </c>
      <c r="B64" s="5">
        <f t="shared" si="1"/>
        <v>52</v>
      </c>
      <c r="C64" s="9">
        <f t="shared" si="2"/>
        <v>27</v>
      </c>
      <c r="D64" s="9">
        <f t="shared" si="3"/>
        <v>1.25</v>
      </c>
      <c r="E64" s="5">
        <f t="shared" si="4"/>
        <v>80.25</v>
      </c>
      <c r="F64" s="9" cm="1">
        <f t="array" ref="F64">IF(E64=0,"",SUM(--(_xlfn.UNIQUE(_xlfn._xlws.FILTER($E$55:$E$64,$E$55:$E$64&lt;&gt;""))&gt;E64))+1)</f>
        <v>3</v>
      </c>
    </row>
    <row r="67" spans="1:7" ht="15.75" thickBot="1" x14ac:dyDescent="0.3">
      <c r="A67" t="s">
        <v>216</v>
      </c>
    </row>
    <row r="68" spans="1:7" ht="15.75" thickBot="1" x14ac:dyDescent="0.3">
      <c r="A68" s="1" t="s">
        <v>238</v>
      </c>
      <c r="B68" s="7" t="s">
        <v>235</v>
      </c>
      <c r="C68" s="7" t="s">
        <v>230</v>
      </c>
      <c r="D68" s="7" t="s">
        <v>217</v>
      </c>
      <c r="E68" s="20" t="s">
        <v>218</v>
      </c>
      <c r="F68" s="7" t="s">
        <v>231</v>
      </c>
      <c r="G68" s="1" t="s">
        <v>239</v>
      </c>
    </row>
    <row r="69" spans="1:7" x14ac:dyDescent="0.25">
      <c r="A69" s="19">
        <v>1</v>
      </c>
      <c r="B69" s="19" t="str" cm="1">
        <f t="array" ref="B69">IFERROR((VLOOKUP((_xlfn._xlws.SORT(_xlfn._xlws.FILTER($A$55:$A$64,$F$55:$F$64=A69),1,1)),REFF!$A$2:$B$11,2,FALSE)),"")</f>
        <v>Hospital A</v>
      </c>
      <c r="C69" s="19" cm="1">
        <f t="array" ref="C69">IFERROR(VLOOKUP(_xlfn._xlws.FILTER($A$55:$A$64,$F$55:$F$64=A69),$A$11:$C$20,3,FALSE),"")</f>
        <v>600000</v>
      </c>
      <c r="D69" s="19" cm="1">
        <f t="array" ref="D69">IFERROR(VLOOKUP(_xlfn._xlws.FILTER($A$55:$A$64,$F$55:$F$64=A69),$A$26:$N$35,12,FALSE),"")</f>
        <v>3</v>
      </c>
      <c r="E69" s="7" t="str" cm="1">
        <f t="array" ref="E69">IFERROR(_xlfn.TEXTJOIN(",",TRUE, LEFT(_xlfn._xlws.FILTER($D$25:$J$25, INDEX($D$26:$J$35, MATCH(_xlfn.TEXTJOIN("; ", TRUE, _xlfn._xlws.FILTER($A$55:$A$64, $F$55:$F$64=A69)), $A$26:$A$35, 0), 0)=1),3)),"")</f>
        <v>Mon,Tue,Wed,Thu,Fri,Sat</v>
      </c>
      <c r="F69" s="2" t="str" cm="1">
        <f t="array" ref="F69">IFERROR(IF((VLOOKUP(_xlfn._xlws.FILTER($A$55:$A$64,$F$55:$F$64=A69),REFF!$A$2:$C$11,3,FALSE))=0,"NO","YES"),"")</f>
        <v>NO</v>
      </c>
      <c r="G69" s="7" cm="1">
        <f t="array" ref="G69">IFERROR(VLOOKUP(_xlfn._xlws.FILTER($A$55:$A$64,$F$55:$F$64=A69),$A$54:$F$64,5,FALSE),"")</f>
        <v>93.25</v>
      </c>
    </row>
    <row r="70" spans="1:7" x14ac:dyDescent="0.25">
      <c r="A70" s="3">
        <v>2</v>
      </c>
      <c r="B70" s="3" t="str" cm="1">
        <f t="array" ref="B70">IFERROR((VLOOKUP((_xlfn._xlws.SORT(_xlfn._xlws.FILTER($A$55:$A$64,$F$55:$F$64=A70),1,1)),REFF!$A$2:$B$11,2,FALSE)),"")</f>
        <v>Hospital C</v>
      </c>
      <c r="C70" s="3" cm="1">
        <f t="array" ref="C70">IFERROR(VLOOKUP(_xlfn._xlws.FILTER($A$55:$A$64,$F$55:$F$64=A70),$A$11:$C$20,3,FALSE),"")</f>
        <v>600000</v>
      </c>
      <c r="D70" s="3" cm="1">
        <f t="array" ref="D70">IFERROR(VLOOKUP(_xlfn._xlws.FILTER($A$55:$A$64,$F$55:$F$64=A70),$A$26:$N$35,12,FALSE),"")</f>
        <v>3</v>
      </c>
      <c r="E70" s="8" t="str" cm="1">
        <f t="array" ref="E70">IFERROR(_xlfn.TEXTJOIN(",",TRUE, LEFT(_xlfn._xlws.FILTER($D$25:$J$25, INDEX($D$26:$J$35, MATCH(_xlfn.TEXTJOIN("; ", TRUE, _xlfn._xlws.FILTER($A$55:$A$64, $F$55:$F$64=A70)), $A$26:$A$35, 0), 0)=1),3)),"")</f>
        <v>Mon,Tue,Wed,Thu,Fri,Sat</v>
      </c>
      <c r="F70" s="4" t="str" cm="1">
        <f t="array" ref="F70">IFERROR(IF((VLOOKUP(_xlfn._xlws.FILTER($A$55:$A$64,$F$55:$F$64=A70),REFF!$A$2:$C$11,3,FALSE))=0,"NO","YES"),"")</f>
        <v>NO</v>
      </c>
      <c r="G70" s="8" cm="1">
        <f t="array" ref="G70">IFERROR(VLOOKUP(_xlfn._xlws.FILTER($A$55:$A$64,$F$55:$F$64=A70),$A$54:$F$64,5,FALSE),"")</f>
        <v>88</v>
      </c>
    </row>
    <row r="71" spans="1:7" x14ac:dyDescent="0.25">
      <c r="A71" s="3">
        <v>3</v>
      </c>
      <c r="B71" s="3" t="str" cm="1">
        <f t="array" ref="B71">IFERROR((VLOOKUP((_xlfn._xlws.SORT(_xlfn._xlws.FILTER($A$55:$A$64,$F$55:$F$64=A71),1,1)),REFF!$A$2:$B$11,2,FALSE)),"")</f>
        <v>Hospital D</v>
      </c>
      <c r="C71" s="3" cm="1">
        <f t="array" ref="C71">IFERROR(VLOOKUP(_xlfn._xlws.FILTER($A$55:$A$64,$F$55:$F$64=A71),$A$11:$C$20,3,FALSE),"")</f>
        <v>610000</v>
      </c>
      <c r="D71" s="3" cm="1">
        <f t="array" ref="D71">IFERROR(VLOOKUP(_xlfn._xlws.FILTER($A$55:$A$64,$F$55:$F$64=A71),$A$26:$N$35,12,FALSE),"")</f>
        <v>3</v>
      </c>
      <c r="E71" s="8" t="str" cm="1">
        <f t="array" ref="E71">IFERROR(_xlfn.TEXTJOIN(",",TRUE, LEFT(_xlfn._xlws.FILTER($D$25:$J$25, INDEX($D$26:$J$35, MATCH(_xlfn.TEXTJOIN("; ", TRUE, _xlfn._xlws.FILTER($A$55:$A$64, $F$55:$F$64=A71)), $A$26:$A$35, 0), 0)=1),3)),"")</f>
        <v>Mon,Tue,Wed,Thu,Fri,Sat</v>
      </c>
      <c r="F71" s="4" t="str" cm="1">
        <f t="array" ref="F71">IFERROR(IF((VLOOKUP(_xlfn._xlws.FILTER($A$55:$A$64,$F$55:$F$64=A71),REFF!$A$2:$C$11,3,FALSE))=0,"NO","YES"),"")</f>
        <v>NO</v>
      </c>
      <c r="G71" s="8" cm="1">
        <f t="array" ref="G71">IFERROR(VLOOKUP(_xlfn._xlws.FILTER($A$55:$A$64,$F$55:$F$64=A71),$A$54:$F$64,5,FALSE),"")</f>
        <v>80.25</v>
      </c>
    </row>
    <row r="72" spans="1:7" x14ac:dyDescent="0.25">
      <c r="A72" s="3">
        <v>4</v>
      </c>
      <c r="B72" s="3" t="str" cm="1">
        <f t="array" ref="B72">IFERROR((VLOOKUP((_xlfn._xlws.SORT(_xlfn._xlws.FILTER($A$55:$A$64,$F$55:$F$64=A72),1,1)),REFF!$A$2:$B$11,2,FALSE)),"")</f>
        <v>Laboratorium B</v>
      </c>
      <c r="C72" s="3" cm="1">
        <f t="array" ref="C72">IFERROR(VLOOKUP(_xlfn._xlws.FILTER($A$55:$A$64,$F$55:$F$64=A72),$A$11:$C$20,3,FALSE),"")</f>
        <v>800000</v>
      </c>
      <c r="D72" s="3" cm="1">
        <f t="array" ref="D72">IFERROR(VLOOKUP(_xlfn._xlws.FILTER($A$55:$A$64,$F$55:$F$64=A72),$A$26:$N$35,12,FALSE),"")</f>
        <v>2</v>
      </c>
      <c r="E72" s="8" t="str" cm="1">
        <f t="array" ref="E72">IFERROR(_xlfn.TEXTJOIN(",",TRUE, LEFT(_xlfn._xlws.FILTER($D$25:$J$25, INDEX($D$26:$J$35, MATCH(_xlfn.TEXTJOIN("; ", TRUE, _xlfn._xlws.FILTER($A$55:$A$64, $F$55:$F$64=A72)), $A$26:$A$35, 0), 0)=1),3)),"")</f>
        <v>Mon,Tue,Wed,Thu,Fri</v>
      </c>
      <c r="F72" s="4" t="str" cm="1">
        <f t="array" ref="F72">IFERROR(IF((VLOOKUP(_xlfn._xlws.FILTER($A$55:$A$64,$F$55:$F$64=A72),REFF!$A$2:$C$11,3,FALSE))=0,"NO","YES"),"")</f>
        <v>YES</v>
      </c>
      <c r="G72" s="8" cm="1">
        <f t="array" ref="G72">IFERROR(VLOOKUP(_xlfn._xlws.FILTER($A$55:$A$64,$F$55:$F$64=A72),$A$54:$F$64,5,FALSE),"")</f>
        <v>74</v>
      </c>
    </row>
    <row r="73" spans="1:7" x14ac:dyDescent="0.25">
      <c r="A73" s="3">
        <v>5</v>
      </c>
      <c r="B73" s="3" t="str" cm="1">
        <f t="array" ref="B73">IFERROR((VLOOKUP((_xlfn._xlws.SORT(_xlfn._xlws.FILTER($A$55:$A$64,$F$55:$F$64=A73),1,1)),REFF!$A$2:$B$11,2,FALSE)),"")</f>
        <v>Hospital B</v>
      </c>
      <c r="C73" s="3" cm="1">
        <f t="array" ref="C73">IFERROR(VLOOKUP(_xlfn._xlws.FILTER($A$55:$A$64,$F$55:$F$64=A73),$A$11:$C$20,3,FALSE),"")</f>
        <v>615000</v>
      </c>
      <c r="D73" s="3" cm="1">
        <f t="array" ref="D73">IFERROR(VLOOKUP(_xlfn._xlws.FILTER($A$55:$A$64,$F$55:$F$64=A73),$A$26:$N$35,12,FALSE),"")</f>
        <v>3</v>
      </c>
      <c r="E73" s="8" t="str" cm="1">
        <f t="array" ref="E73">IFERROR(_xlfn.TEXTJOIN(",",TRUE, LEFT(_xlfn._xlws.FILTER($D$25:$J$25, INDEX($D$26:$J$35, MATCH(_xlfn.TEXTJOIN("; ", TRUE, _xlfn._xlws.FILTER($A$55:$A$64, $F$55:$F$64=A73)), $A$26:$A$35, 0), 0)=1),3)),"")</f>
        <v>Mon,Tue,Wed,Thu,Fri,Sat</v>
      </c>
      <c r="F73" s="4" t="str" cm="1">
        <f t="array" ref="F73">IFERROR(IF((VLOOKUP(_xlfn._xlws.FILTER($A$55:$A$64,$F$55:$F$64=A73),REFF!$A$2:$C$11,3,FALSE))=0,"NO","YES"),"")</f>
        <v>NO</v>
      </c>
      <c r="G73" s="8" cm="1">
        <f t="array" ref="G73">IFERROR(VLOOKUP(_xlfn._xlws.FILTER($A$55:$A$64,$F$55:$F$64=A73),$A$54:$F$64,5,FALSE),"")</f>
        <v>73.75</v>
      </c>
    </row>
    <row r="74" spans="1:7" x14ac:dyDescent="0.25">
      <c r="A74" s="3">
        <v>6</v>
      </c>
      <c r="B74" s="3" t="str" cm="1">
        <f t="array" ref="B74">IFERROR((VLOOKUP((_xlfn._xlws.SORT(_xlfn._xlws.FILTER($A$55:$A$64,$F$55:$F$64=A74),1,1)),REFF!$A$2:$B$11,2,FALSE)),"")</f>
        <v>Laboratorium C</v>
      </c>
      <c r="C74" s="3" cm="1">
        <f t="array" ref="C74">IFERROR(VLOOKUP(_xlfn._xlws.FILTER($A$55:$A$64,$F$55:$F$64=A74),$A$11:$C$20,3,FALSE),"")</f>
        <v>815000</v>
      </c>
      <c r="D74" s="3" cm="1">
        <f t="array" ref="D74">IFERROR(VLOOKUP(_xlfn._xlws.FILTER($A$55:$A$64,$F$55:$F$64=A74),$A$26:$N$35,12,FALSE),"")</f>
        <v>2</v>
      </c>
      <c r="E74" s="8" t="str" cm="1">
        <f t="array" ref="E74">IFERROR(_xlfn.TEXTJOIN(",",TRUE, LEFT(_xlfn._xlws.FILTER($D$25:$J$25, INDEX($D$26:$J$35, MATCH(_xlfn.TEXTJOIN("; ", TRUE, _xlfn._xlws.FILTER($A$55:$A$64, $F$55:$F$64=A74)), $A$26:$A$35, 0), 0)=1),3)),"")</f>
        <v>Mon,Tue,Wed,Thu,Fri</v>
      </c>
      <c r="F74" s="4" t="str" cm="1">
        <f t="array" ref="F74">IFERROR(IF((VLOOKUP(_xlfn._xlws.FILTER($A$55:$A$64,$F$55:$F$64=A74),REFF!$A$2:$C$11,3,FALSE))=0,"NO","YES"),"")</f>
        <v>NO</v>
      </c>
      <c r="G74" s="8" cm="1">
        <f t="array" ref="G74">IFERROR(VLOOKUP(_xlfn._xlws.FILTER($A$55:$A$64,$F$55:$F$64=A74),$A$54:$F$64,5,FALSE),"")</f>
        <v>63</v>
      </c>
    </row>
    <row r="75" spans="1:7" x14ac:dyDescent="0.25">
      <c r="A75" s="3">
        <v>7</v>
      </c>
      <c r="B75" s="3" t="str" cm="1">
        <f t="array" ref="B75">IFERROR((VLOOKUP((_xlfn._xlws.SORT(_xlfn._xlws.FILTER($A$55:$A$64,$F$55:$F$64=A75),1,1)),REFF!$A$2:$B$11,2,FALSE)),"")</f>
        <v>Laboratorium D</v>
      </c>
      <c r="C75" s="3" cm="1">
        <f t="array" ref="C75">IFERROR(VLOOKUP(_xlfn._xlws.FILTER($A$55:$A$64,$F$55:$F$64=A75),$A$11:$C$20,3,FALSE),"")</f>
        <v>820000</v>
      </c>
      <c r="D75" s="3" cm="1">
        <f t="array" ref="D75">IFERROR(VLOOKUP(_xlfn._xlws.FILTER($A$55:$A$64,$F$55:$F$64=A75),$A$26:$N$35,12,FALSE),"")</f>
        <v>2</v>
      </c>
      <c r="E75" s="8" t="str" cm="1">
        <f t="array" ref="E75">IFERROR(_xlfn.TEXTJOIN(",",TRUE, LEFT(_xlfn._xlws.FILTER($D$25:$J$25, INDEX($D$26:$J$35, MATCH(_xlfn.TEXTJOIN("; ", TRUE, _xlfn._xlws.FILTER($A$55:$A$64, $F$55:$F$64=A75)), $A$26:$A$35, 0), 0)=1),3)),"")</f>
        <v>Mon,Tue,Wed,Thu,Fri</v>
      </c>
      <c r="F75" s="4" t="str" cm="1">
        <f t="array" ref="F75">IFERROR(IF((VLOOKUP(_xlfn._xlws.FILTER($A$55:$A$64,$F$55:$F$64=A75),REFF!$A$2:$C$11,3,FALSE))=0,"NO","YES"),"")</f>
        <v>YES</v>
      </c>
      <c r="G75" s="8" cm="1">
        <f t="array" ref="G75">IFERROR(VLOOKUP(_xlfn._xlws.FILTER($A$55:$A$64,$F$55:$F$64=A75),$A$54:$F$64,5,FALSE),"")</f>
        <v>59.75</v>
      </c>
    </row>
    <row r="76" spans="1:7" x14ac:dyDescent="0.25">
      <c r="A76" s="3">
        <v>8</v>
      </c>
      <c r="B76" s="3" t="str" cm="1">
        <f t="array" ref="B76">IFERROR((VLOOKUP((_xlfn._xlws.SORT(_xlfn._xlws.FILTER($A$55:$A$64,$F$55:$F$64=A76),1,1)),REFF!$A$2:$B$11,2,FALSE)),"")</f>
        <v>Laboratorium A</v>
      </c>
      <c r="C76" s="3" cm="1">
        <f t="array" ref="C76">IFERROR(VLOOKUP(_xlfn._xlws.FILTER($A$55:$A$64,$F$55:$F$64=A76),$A$11:$C$20,3,FALSE),"")</f>
        <v>825000</v>
      </c>
      <c r="D76" s="3" cm="1">
        <f t="array" ref="D76">IFERROR(VLOOKUP(_xlfn._xlws.FILTER($A$55:$A$64,$F$55:$F$64=A76),$A$26:$N$35,12,FALSE),"")</f>
        <v>2</v>
      </c>
      <c r="E76" s="8" t="str" cm="1">
        <f t="array" ref="E76">IFERROR(_xlfn.TEXTJOIN(",",TRUE, LEFT(_xlfn._xlws.FILTER($D$25:$J$25, INDEX($D$26:$J$35, MATCH(_xlfn.TEXTJOIN("; ", TRUE, _xlfn._xlws.FILTER($A$55:$A$64, $F$55:$F$64=A76)), $A$26:$A$35, 0), 0)=1),3)),"")</f>
        <v>Mon,Tue,Wed,Thu,Fri</v>
      </c>
      <c r="F76" s="4" t="str" cm="1">
        <f t="array" ref="F76">IFERROR(IF((VLOOKUP(_xlfn._xlws.FILTER($A$55:$A$64,$F$55:$F$64=A76),REFF!$A$2:$C$11,3,FALSE))=0,"NO","YES"),"")</f>
        <v>YES</v>
      </c>
      <c r="G76" s="8" cm="1">
        <f t="array" ref="G76">IFERROR(VLOOKUP(_xlfn._xlws.FILTER($A$55:$A$64,$F$55:$F$64=A76),$A$54:$F$64,5,FALSE),"")</f>
        <v>53.25</v>
      </c>
    </row>
    <row r="77" spans="1:7" x14ac:dyDescent="0.25">
      <c r="A77" s="3">
        <v>9</v>
      </c>
      <c r="B77" s="3" t="str" cm="1">
        <f t="array" ref="B77">IFERROR((VLOOKUP((_xlfn._xlws.SORT(_xlfn._xlws.FILTER($A$55:$A$64,$F$55:$F$64=A77),1,1)),REFF!$A$2:$B$11,2,FALSE)),"")</f>
        <v>Laboratorium F</v>
      </c>
      <c r="C77" s="3" cm="1">
        <f t="array" ref="C77">IFERROR(VLOOKUP(_xlfn._xlws.FILTER($A$55:$A$64,$F$55:$F$64=A77),$A$11:$C$20,3,FALSE),"")</f>
        <v>825000</v>
      </c>
      <c r="D77" s="3" cm="1">
        <f t="array" ref="D77">IFERROR(VLOOKUP(_xlfn._xlws.FILTER($A$55:$A$64,$F$55:$F$64=A77),$A$26:$N$35,12,FALSE),"")</f>
        <v>2</v>
      </c>
      <c r="E77" s="8" t="str" cm="1">
        <f t="array" ref="E77">IFERROR(_xlfn.TEXTJOIN(",",TRUE, LEFT(_xlfn._xlws.FILTER($D$25:$J$25, INDEX($D$26:$J$35, MATCH(_xlfn.TEXTJOIN("; ", TRUE, _xlfn._xlws.FILTER($A$55:$A$64, $F$55:$F$64=A77)), $A$26:$A$35, 0), 0)=1),3)),"")</f>
        <v>Mon,Tue,Wed,Thu,Fri</v>
      </c>
      <c r="F77" s="4" t="str" cm="1">
        <f t="array" ref="F77">IFERROR(IF((VLOOKUP(_xlfn._xlws.FILTER($A$55:$A$64,$F$55:$F$64=A77),REFF!$A$2:$C$11,3,FALSE))=0,"NO","YES"),"")</f>
        <v>NO</v>
      </c>
      <c r="G77" s="8" cm="1">
        <f t="array" ref="G77">IFERROR(VLOOKUP(_xlfn._xlws.FILTER($A$55:$A$64,$F$55:$F$64=A77),$A$54:$F$64,5,FALSE),"")</f>
        <v>45.5</v>
      </c>
    </row>
    <row r="78" spans="1:7" ht="15.75" thickBot="1" x14ac:dyDescent="0.3">
      <c r="A78" s="5">
        <v>10</v>
      </c>
      <c r="B78" s="5" t="str" cm="1">
        <f t="array" ref="B78">IFERROR((VLOOKUP((_xlfn._xlws.SORT(_xlfn._xlws.FILTER($A$55:$A$64,$F$55:$F$64=A78),1,1)),REFF!$A$2:$B$11,2,FALSE)),"")</f>
        <v>Laboratorium E</v>
      </c>
      <c r="C78" s="5" cm="1">
        <f t="array" ref="C78">IFERROR(VLOOKUP(_xlfn._xlws.FILTER($A$55:$A$64,$F$55:$F$64=A78),$A$11:$C$20,3,FALSE),"")</f>
        <v>850000</v>
      </c>
      <c r="D78" s="5" cm="1">
        <f t="array" ref="D78">IFERROR(VLOOKUP(_xlfn._xlws.FILTER($A$55:$A$64,$F$55:$F$64=A78),$A$26:$N$35,12,FALSE),"")</f>
        <v>2</v>
      </c>
      <c r="E78" s="9" t="str" cm="1">
        <f t="array" ref="E78">IFERROR(_xlfn.TEXTJOIN(",",TRUE, LEFT(_xlfn._xlws.FILTER($D$25:$J$25, INDEX($D$26:$J$35, MATCH(_xlfn.TEXTJOIN("; ", TRUE, _xlfn._xlws.FILTER($A$55:$A$64, $F$55:$F$64=A78)), $A$26:$A$35, 0), 0)=1),3)),"")</f>
        <v>Mon,Tue,Wed,Thu,Fri</v>
      </c>
      <c r="F78" s="6" t="str" cm="1">
        <f t="array" ref="F78">IFERROR(IF((VLOOKUP(_xlfn._xlws.FILTER($A$55:$A$64,$F$55:$F$64=A78),REFF!$A$2:$C$11,3,FALSE))=0,"NO","YES"),"")</f>
        <v>YES</v>
      </c>
      <c r="G78" s="9" cm="1">
        <f t="array" ref="G78">IFERROR(VLOOKUP(_xlfn._xlws.FILTER($A$55:$A$64,$F$55:$F$64=A78),$A$54:$F$64,5,FALSE),"")</f>
        <v>40.25</v>
      </c>
    </row>
    <row r="82" spans="1:2" x14ac:dyDescent="0.25">
      <c r="A82" s="4"/>
      <c r="B82" s="4"/>
    </row>
    <row r="83" spans="1:2" x14ac:dyDescent="0.25">
      <c r="A83" s="4"/>
      <c r="B83" s="4"/>
    </row>
    <row r="84" spans="1:2" x14ac:dyDescent="0.25">
      <c r="A84" s="4"/>
      <c r="B84" s="4"/>
    </row>
    <row r="85" spans="1:2" x14ac:dyDescent="0.25">
      <c r="A85" s="4"/>
      <c r="B85" s="4"/>
    </row>
    <row r="86" spans="1:2" x14ac:dyDescent="0.25">
      <c r="A86" s="4"/>
      <c r="B86" s="4"/>
    </row>
    <row r="87" spans="1:2" x14ac:dyDescent="0.25">
      <c r="A87" s="4"/>
      <c r="B87" s="4"/>
    </row>
    <row r="88" spans="1:2" x14ac:dyDescent="0.25">
      <c r="A88" s="4"/>
      <c r="B88" s="4"/>
    </row>
    <row r="89" spans="1:2" x14ac:dyDescent="0.25">
      <c r="A89" s="4"/>
      <c r="B89" s="4"/>
    </row>
    <row r="90" spans="1:2" x14ac:dyDescent="0.25">
      <c r="A90" s="4"/>
      <c r="B90" s="4"/>
    </row>
    <row r="91" spans="1:2" x14ac:dyDescent="0.25">
      <c r="A91" s="4"/>
      <c r="B91" s="4"/>
    </row>
    <row r="92" spans="1:2" x14ac:dyDescent="0.25">
      <c r="A92" s="4"/>
      <c r="B92" s="4"/>
    </row>
  </sheetData>
  <sheetProtection algorithmName="SHA-512" hashValue="modPk88CIM/hg9q4Is/NGpjlRlo7cs3ErWj16/t5D131aN9bWpVokxk168EYKPv1B9E3gwCN7uRa6wWcW+EsKQ==" saltValue="CVGx96/NmMedOn6bynU+NA==" spinCount="100000" sheet="1" objects="1" scenarios="1" selectLockedCells="1" selectUnlockedCell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827D22-EA98-43CC-BD42-3E9B5D7539FA}">
  <dimension ref="A1:D42"/>
  <sheetViews>
    <sheetView topLeftCell="A38" workbookViewId="0">
      <selection activeCell="G58" sqref="G58"/>
    </sheetView>
  </sheetViews>
  <sheetFormatPr defaultRowHeight="15" x14ac:dyDescent="0.25"/>
  <cols>
    <col min="2" max="2" width="14.7109375" bestFit="1" customWidth="1"/>
    <col min="3" max="3" width="16.140625" style="21" bestFit="1" customWidth="1"/>
    <col min="4" max="4" width="14.5703125" bestFit="1" customWidth="1"/>
  </cols>
  <sheetData>
    <row r="1" spans="1:4" x14ac:dyDescent="0.25">
      <c r="A1" t="s">
        <v>234</v>
      </c>
    </row>
    <row r="2" spans="1:4" x14ac:dyDescent="0.25">
      <c r="A2" s="4"/>
      <c r="B2" s="4"/>
      <c r="C2" s="44"/>
      <c r="D2" s="4"/>
    </row>
    <row r="3" spans="1:4" ht="15.75" thickBot="1" x14ac:dyDescent="0.3">
      <c r="C3" s="21" t="s">
        <v>230</v>
      </c>
      <c r="D3" t="s">
        <v>235</v>
      </c>
    </row>
    <row r="4" spans="1:4" x14ac:dyDescent="0.25">
      <c r="A4" s="7" t="str" cm="1">
        <f t="array" ref="A4:C13">_xlfn._xlws.SORT(_xlfn._xlws.FILTER(SNP!$A$2:$C$504,SNP!$B$2:$B$504=HELPER!$A$4),3,1)</f>
        <v>H001</v>
      </c>
      <c r="B4" s="7" t="str">
        <v>TEST019</v>
      </c>
      <c r="C4" s="45">
        <v>600000</v>
      </c>
      <c r="D4" s="7" t="str">
        <f>IFERROR(VLOOKUP(A4,REFF!$A$2:$B$11,2,FALSE),"")</f>
        <v>Hospital A</v>
      </c>
    </row>
    <row r="5" spans="1:4" x14ac:dyDescent="0.25">
      <c r="A5" s="8" t="str">
        <v>H003</v>
      </c>
      <c r="B5" s="8" t="str">
        <v>TEST019</v>
      </c>
      <c r="C5" s="46">
        <v>600000</v>
      </c>
      <c r="D5" s="8" t="str">
        <f>IFERROR(VLOOKUP(A5,REFF!$A$2:$B$11,2,FALSE),"")</f>
        <v>Hospital C</v>
      </c>
    </row>
    <row r="6" spans="1:4" x14ac:dyDescent="0.25">
      <c r="A6" s="8" t="str">
        <v>H004</v>
      </c>
      <c r="B6" s="8" t="str">
        <v>TEST019</v>
      </c>
      <c r="C6" s="46">
        <v>610000</v>
      </c>
      <c r="D6" s="8" t="str">
        <f>IFERROR(VLOOKUP(A6,REFF!$A$2:$B$11,2,FALSE),"")</f>
        <v>Hospital D</v>
      </c>
    </row>
    <row r="7" spans="1:4" x14ac:dyDescent="0.25">
      <c r="A7" s="8" t="str">
        <v>H002</v>
      </c>
      <c r="B7" s="8" t="str">
        <v>TEST019</v>
      </c>
      <c r="C7" s="46">
        <v>615000</v>
      </c>
      <c r="D7" s="8" t="str">
        <f>IFERROR(VLOOKUP(A7,REFF!$A$2:$B$11,2,FALSE),"")</f>
        <v>Hospital B</v>
      </c>
    </row>
    <row r="8" spans="1:4" x14ac:dyDescent="0.25">
      <c r="A8" s="8" t="str">
        <v>L002</v>
      </c>
      <c r="B8" s="8" t="str">
        <v>TEST019</v>
      </c>
      <c r="C8" s="46">
        <v>800000</v>
      </c>
      <c r="D8" s="8" t="str">
        <f>IFERROR(VLOOKUP(A8,REFF!$A$2:$B$11,2,FALSE),"")</f>
        <v>Laboratorium B</v>
      </c>
    </row>
    <row r="9" spans="1:4" x14ac:dyDescent="0.25">
      <c r="A9" s="8" t="str">
        <v>L003</v>
      </c>
      <c r="B9" s="8" t="str">
        <v>TEST019</v>
      </c>
      <c r="C9" s="46">
        <v>815000</v>
      </c>
      <c r="D9" s="8" t="str">
        <f>IFERROR(VLOOKUP(A9,REFF!$A$2:$B$11,2,FALSE),"")</f>
        <v>Laboratorium C</v>
      </c>
    </row>
    <row r="10" spans="1:4" x14ac:dyDescent="0.25">
      <c r="A10" s="8" t="str">
        <v>L004</v>
      </c>
      <c r="B10" s="8" t="str">
        <v>TEST019</v>
      </c>
      <c r="C10" s="46">
        <v>820000</v>
      </c>
      <c r="D10" s="8" t="str">
        <f>IFERROR(VLOOKUP(A10,REFF!$A$2:$B$11,2,FALSE),"")</f>
        <v>Laboratorium D</v>
      </c>
    </row>
    <row r="11" spans="1:4" x14ac:dyDescent="0.25">
      <c r="A11" s="8" t="str">
        <v>L001</v>
      </c>
      <c r="B11" s="8" t="str">
        <v>TEST019</v>
      </c>
      <c r="C11" s="46">
        <v>825000</v>
      </c>
      <c r="D11" s="8" t="str">
        <f>IFERROR(VLOOKUP(A11,REFF!$A$2:$B$11,2,FALSE),"")</f>
        <v>Laboratorium A</v>
      </c>
    </row>
    <row r="12" spans="1:4" x14ac:dyDescent="0.25">
      <c r="A12" s="8" t="str">
        <v>L006</v>
      </c>
      <c r="B12" s="8" t="str">
        <v>TEST019</v>
      </c>
      <c r="C12" s="46">
        <v>825000</v>
      </c>
      <c r="D12" s="8" t="str">
        <f>IFERROR(VLOOKUP(A12,REFF!$A$2:$B$11,2,FALSE),"")</f>
        <v>Laboratorium F</v>
      </c>
    </row>
    <row r="13" spans="1:4" ht="15.75" thickBot="1" x14ac:dyDescent="0.3">
      <c r="A13" s="9" t="str">
        <v>L005</v>
      </c>
      <c r="B13" s="9" t="str">
        <v>TEST019</v>
      </c>
      <c r="C13" s="47">
        <v>850000</v>
      </c>
      <c r="D13" s="9" t="str">
        <f>IFERROR(VLOOKUP(A13,REFF!$A$2:$B$11,2,FALSE),"")</f>
        <v>Laboratorium E</v>
      </c>
    </row>
    <row r="20" spans="1:3" ht="15.75" thickBot="1" x14ac:dyDescent="0.3">
      <c r="A20" t="s">
        <v>236</v>
      </c>
    </row>
    <row r="21" spans="1:3" x14ac:dyDescent="0.25">
      <c r="A21" s="48" t="str" cm="1">
        <f t="array" ref="A21:A30">HELPER!A26:$A$35</f>
        <v>H001</v>
      </c>
      <c r="B21" s="19" cm="1">
        <f t="array" ref="B21:B30">HELPER!L26:L35</f>
        <v>3</v>
      </c>
      <c r="C21" s="45" t="str">
        <f>IFERROR(VLOOKUP(A21,REFF!$A$2:$B$11,2,FALSE),"")</f>
        <v>Hospital A</v>
      </c>
    </row>
    <row r="22" spans="1:3" x14ac:dyDescent="0.25">
      <c r="A22" s="8" t="str">
        <v>H002</v>
      </c>
      <c r="B22" s="3">
        <v>3</v>
      </c>
      <c r="C22" s="46" t="str">
        <f>IFERROR(VLOOKUP(A22,REFF!$A$2:$B$11,2,FALSE),"")</f>
        <v>Hospital B</v>
      </c>
    </row>
    <row r="23" spans="1:3" x14ac:dyDescent="0.25">
      <c r="A23" s="8" t="str">
        <v>H003</v>
      </c>
      <c r="B23" s="3">
        <v>3</v>
      </c>
      <c r="C23" s="46" t="str">
        <f>IFERROR(VLOOKUP(A23,REFF!$A$2:$B$11,2,FALSE),"")</f>
        <v>Hospital C</v>
      </c>
    </row>
    <row r="24" spans="1:3" x14ac:dyDescent="0.25">
      <c r="A24" s="8" t="str">
        <v>H004</v>
      </c>
      <c r="B24" s="3">
        <v>3</v>
      </c>
      <c r="C24" s="46" t="str">
        <f>IFERROR(VLOOKUP(A24,REFF!$A$2:$B$11,2,FALSE),"")</f>
        <v>Hospital D</v>
      </c>
    </row>
    <row r="25" spans="1:3" x14ac:dyDescent="0.25">
      <c r="A25" s="8" t="str">
        <v>L001</v>
      </c>
      <c r="B25" s="3">
        <v>2</v>
      </c>
      <c r="C25" s="46" t="str">
        <f>IFERROR(VLOOKUP(A25,REFF!$A$2:$B$11,2,FALSE),"")</f>
        <v>Laboratorium A</v>
      </c>
    </row>
    <row r="26" spans="1:3" x14ac:dyDescent="0.25">
      <c r="A26" s="8" t="str">
        <v>L002</v>
      </c>
      <c r="B26" s="3">
        <v>2</v>
      </c>
      <c r="C26" s="46" t="str">
        <f>IFERROR(VLOOKUP(A26,REFF!$A$2:$B$11,2,FALSE),"")</f>
        <v>Laboratorium B</v>
      </c>
    </row>
    <row r="27" spans="1:3" x14ac:dyDescent="0.25">
      <c r="A27" s="8" t="str">
        <v>L003</v>
      </c>
      <c r="B27" s="3">
        <v>2</v>
      </c>
      <c r="C27" s="46" t="str">
        <f>IFERROR(VLOOKUP(A27,REFF!$A$2:$B$11,2,FALSE),"")</f>
        <v>Laboratorium C</v>
      </c>
    </row>
    <row r="28" spans="1:3" x14ac:dyDescent="0.25">
      <c r="A28" s="8" t="str">
        <v>L004</v>
      </c>
      <c r="B28" s="3">
        <v>2</v>
      </c>
      <c r="C28" s="46" t="str">
        <f>IFERROR(VLOOKUP(A28,REFF!$A$2:$B$11,2,FALSE),"")</f>
        <v>Laboratorium D</v>
      </c>
    </row>
    <row r="29" spans="1:3" x14ac:dyDescent="0.25">
      <c r="A29" s="8" t="str">
        <v>L005</v>
      </c>
      <c r="B29" s="3">
        <v>2</v>
      </c>
      <c r="C29" s="46" t="str">
        <f>IFERROR(VLOOKUP(A29,REFF!$A$2:$B$11,2,FALSE),"")</f>
        <v>Laboratorium E</v>
      </c>
    </row>
    <row r="30" spans="1:3" ht="15.75" thickBot="1" x14ac:dyDescent="0.3">
      <c r="A30" s="9" t="str">
        <v>L006</v>
      </c>
      <c r="B30" s="5">
        <v>2</v>
      </c>
      <c r="C30" s="47" t="str">
        <f>IFERROR(VLOOKUP(A30,REFF!$A$2:$B$11,2,FALSE),"")</f>
        <v>Laboratorium F</v>
      </c>
    </row>
    <row r="32" spans="1:3" ht="15.75" thickBot="1" x14ac:dyDescent="0.3"/>
    <row r="33" spans="1:2" x14ac:dyDescent="0.25">
      <c r="A33" s="7" cm="1">
        <f t="array" ref="A33:B42">_xlfn._xlws.SORT($B$21:$C$30,1,1)</f>
        <v>2</v>
      </c>
      <c r="B33" s="7" t="str">
        <v>Laboratorium A</v>
      </c>
    </row>
    <row r="34" spans="1:2" x14ac:dyDescent="0.25">
      <c r="A34" s="8">
        <v>2</v>
      </c>
      <c r="B34" s="8" t="str">
        <v>Laboratorium B</v>
      </c>
    </row>
    <row r="35" spans="1:2" x14ac:dyDescent="0.25">
      <c r="A35" s="8">
        <v>2</v>
      </c>
      <c r="B35" s="8" t="str">
        <v>Laboratorium C</v>
      </c>
    </row>
    <row r="36" spans="1:2" x14ac:dyDescent="0.25">
      <c r="A36" s="8">
        <v>2</v>
      </c>
      <c r="B36" s="8" t="str">
        <v>Laboratorium D</v>
      </c>
    </row>
    <row r="37" spans="1:2" x14ac:dyDescent="0.25">
      <c r="A37" s="8">
        <v>2</v>
      </c>
      <c r="B37" s="8" t="str">
        <v>Laboratorium E</v>
      </c>
    </row>
    <row r="38" spans="1:2" x14ac:dyDescent="0.25">
      <c r="A38" s="8">
        <v>2</v>
      </c>
      <c r="B38" s="8" t="str">
        <v>Laboratorium F</v>
      </c>
    </row>
    <row r="39" spans="1:2" x14ac:dyDescent="0.25">
      <c r="A39" s="8">
        <v>3</v>
      </c>
      <c r="B39" s="8" t="str">
        <v>Hospital A</v>
      </c>
    </row>
    <row r="40" spans="1:2" x14ac:dyDescent="0.25">
      <c r="A40" s="8">
        <v>3</v>
      </c>
      <c r="B40" s="8" t="str">
        <v>Hospital B</v>
      </c>
    </row>
    <row r="41" spans="1:2" x14ac:dyDescent="0.25">
      <c r="A41" s="8">
        <v>3</v>
      </c>
      <c r="B41" s="8" t="str">
        <v>Hospital C</v>
      </c>
    </row>
    <row r="42" spans="1:2" ht="15.75" thickBot="1" x14ac:dyDescent="0.3">
      <c r="A42" s="9">
        <v>3</v>
      </c>
      <c r="B42" s="9" t="str">
        <v>Hospital D</v>
      </c>
    </row>
  </sheetData>
  <sheetProtection algorithmName="SHA-512" hashValue="1tNYNqN2l/7nEIFv/GrCIq1IkxMkZzkWosLFzvSkZ4GSXtpLcY15zTuNWdCAojUwpWZjlsvdUC5JiMhgXXibxA==" saltValue="7D8qMW2CcFBQLta4QG8NGA==" spinCount="100000" sheet="1" objects="1" scenarios="1" selectLockedCells="1" selectUnlockedCells="1"/>
  <conditionalFormatting sqref="C4:D13">
    <cfRule type="colorScale" priority="1">
      <colorScale>
        <cfvo type="min"/>
        <cfvo type="max"/>
        <color theme="3" tint="0.39997558519241921"/>
        <color theme="0" tint="-0.249977111117893"/>
      </colorScale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REFF</vt:lpstr>
      <vt:lpstr>TEST</vt:lpstr>
      <vt:lpstr>SNP</vt:lpstr>
      <vt:lpstr>HELPER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LENOVO</cp:lastModifiedBy>
  <dcterms:created xsi:type="dcterms:W3CDTF">2026-06-02T02:40:20Z</dcterms:created>
  <dcterms:modified xsi:type="dcterms:W3CDTF">2026-06-17T01:19:09Z</dcterms:modified>
</cp:coreProperties>
</file>